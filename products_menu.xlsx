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/>
  <xr:revisionPtr revIDLastSave="0" documentId="13_ncr:1_{35811AE8-9387-447D-999C-1D2DF2D00F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مستودع رئيسي" sheetId="1" r:id="rId1"/>
    <sheet name="مستودع ايوب" sheetId="2" r:id="rId2"/>
    <sheet name="مستودع احمد" sheetId="3" r:id="rId3"/>
  </sheets>
  <externalReferences>
    <externalReference r:id="rId4"/>
  </externalReferences>
  <definedNames>
    <definedName name="_xlnm._FilterDatabase" localSheetId="2" hidden="1">'مستودع احمد'!#REF!</definedName>
    <definedName name="_xlnm._FilterDatabase" localSheetId="1" hidden="1">'مستودع ايوب'!#REF!</definedName>
    <definedName name="_xlnm._FilterDatabase" localSheetId="0" hidden="1">'مستودع رئيسي'!#REF!</definedName>
    <definedName name="_xlnm.Print_Titles" localSheetId="2">'مستودع احمد'!$1:$3</definedName>
    <definedName name="_xlnm.Print_Titles" localSheetId="1">'مستودع ايوب'!$1:$3</definedName>
    <definedName name="_xlnm.Print_Titles" localSheetId="0">'مستودع رئيسي'!$1:$3</definedName>
    <definedName name="valHighlight" localSheetId="2">IFERROR(IF('مستودع احمد'!#REF!="نعم", TRUE, FALSE),FALSE)</definedName>
    <definedName name="valHighlight" localSheetId="1">IFERROR(IF('مستودع ايوب'!#REF!="نعم", TRUE, FALSE),FALSE)</definedName>
    <definedName name="valHighlight">IFERROR(IF('مستودع رئيسي'!#REF!="نعم", TRUE, FALSE),FALSE)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1" i="3" l="1"/>
  <c r="H371" i="3"/>
  <c r="F370" i="3"/>
  <c r="H370" i="3"/>
  <c r="F13" i="3"/>
  <c r="F14" i="3"/>
  <c r="F15" i="3"/>
  <c r="F16" i="3"/>
  <c r="F17" i="3"/>
  <c r="H127" i="3"/>
  <c r="H128" i="3"/>
  <c r="H129" i="3"/>
  <c r="H130" i="3"/>
  <c r="H131" i="3"/>
  <c r="H132" i="3"/>
  <c r="H133" i="3"/>
  <c r="H134" i="3"/>
  <c r="H135" i="3"/>
  <c r="H136" i="3"/>
  <c r="H137" i="3"/>
  <c r="H139" i="3"/>
  <c r="H140" i="3"/>
  <c r="H141" i="3"/>
  <c r="H142" i="3"/>
  <c r="H143" i="3"/>
  <c r="H144" i="3"/>
  <c r="H145" i="3"/>
  <c r="H147" i="3"/>
  <c r="H148" i="3"/>
  <c r="H163" i="3"/>
  <c r="H164" i="3"/>
  <c r="H165" i="3"/>
  <c r="H166" i="3"/>
  <c r="H167" i="3"/>
  <c r="H168" i="3"/>
  <c r="H169" i="3"/>
  <c r="H170" i="3"/>
  <c r="H171" i="3"/>
  <c r="H172" i="3"/>
  <c r="H126" i="3"/>
  <c r="G283" i="1"/>
  <c r="G287" i="1"/>
  <c r="G288" i="1"/>
  <c r="G289" i="1"/>
  <c r="G290" i="1"/>
  <c r="G295" i="1"/>
  <c r="G296" i="1"/>
  <c r="G297" i="1"/>
  <c r="G304" i="1"/>
  <c r="G305" i="1"/>
  <c r="G307" i="1"/>
  <c r="G308" i="1"/>
  <c r="G309" i="1"/>
  <c r="G310" i="1"/>
  <c r="G313" i="1"/>
  <c r="G315" i="1"/>
  <c r="G316" i="1"/>
  <c r="G317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8" i="1"/>
  <c r="G359" i="1"/>
  <c r="G360" i="1"/>
  <c r="G361" i="1"/>
  <c r="G362" i="1"/>
  <c r="G363" i="1"/>
  <c r="G364" i="1"/>
  <c r="G367" i="1"/>
  <c r="G368" i="1"/>
  <c r="G369" i="1"/>
  <c r="G370" i="1"/>
  <c r="G371" i="1"/>
  <c r="G372" i="1"/>
  <c r="H124" i="3" l="1"/>
  <c r="H122" i="3"/>
  <c r="H123" i="3"/>
  <c r="F21" i="3"/>
  <c r="H118" i="3"/>
  <c r="H119" i="3"/>
  <c r="H120" i="3"/>
  <c r="H110" i="3"/>
  <c r="H101" i="3"/>
  <c r="H102" i="3"/>
  <c r="H103" i="3"/>
  <c r="H104" i="3"/>
  <c r="H105" i="3"/>
  <c r="H106" i="3"/>
  <c r="H107" i="3"/>
  <c r="H108" i="3"/>
  <c r="H109" i="3"/>
  <c r="H92" i="3"/>
  <c r="H93" i="3"/>
  <c r="H94" i="3"/>
  <c r="H95" i="3"/>
  <c r="H96" i="3"/>
  <c r="H97" i="3"/>
  <c r="H98" i="3"/>
  <c r="H99" i="3"/>
  <c r="H100" i="3"/>
  <c r="H111" i="3"/>
  <c r="F113" i="3"/>
  <c r="H115" i="3"/>
  <c r="H117" i="3"/>
  <c r="F117" i="3"/>
  <c r="G32" i="1"/>
  <c r="G281" i="1"/>
  <c r="H91" i="3"/>
  <c r="H90" i="3"/>
  <c r="H89" i="3"/>
  <c r="H87" i="3"/>
  <c r="H84" i="3"/>
  <c r="H83" i="3"/>
  <c r="H82" i="3"/>
  <c r="F4" i="3"/>
  <c r="F5" i="3"/>
  <c r="F6" i="3"/>
  <c r="F7" i="3"/>
  <c r="F8" i="3"/>
  <c r="F9" i="3"/>
  <c r="F10" i="3"/>
  <c r="F11" i="3"/>
  <c r="F12" i="3"/>
  <c r="F18" i="3"/>
  <c r="F19" i="3"/>
  <c r="F20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100" i="3"/>
  <c r="F101" i="3"/>
  <c r="F102" i="3"/>
  <c r="F103" i="3"/>
  <c r="F104" i="3"/>
  <c r="F105" i="3"/>
  <c r="F118" i="3"/>
  <c r="F119" i="3"/>
  <c r="F120" i="3"/>
  <c r="F121" i="3"/>
  <c r="F122" i="3"/>
  <c r="F123" i="3"/>
  <c r="F127" i="3"/>
  <c r="F128" i="3"/>
  <c r="F130" i="3"/>
  <c r="F131" i="3"/>
  <c r="F132" i="3"/>
  <c r="F133" i="3"/>
  <c r="F134" i="3"/>
  <c r="F135" i="3"/>
  <c r="F136" i="3"/>
  <c r="F137" i="3"/>
  <c r="F139" i="3"/>
  <c r="F140" i="3"/>
  <c r="F141" i="3"/>
  <c r="F142" i="3"/>
  <c r="F143" i="3"/>
  <c r="F144" i="3"/>
  <c r="F145" i="3"/>
  <c r="F147" i="3"/>
  <c r="F148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H64" i="3"/>
  <c r="G277" i="1"/>
  <c r="G276" i="1"/>
  <c r="G275" i="1"/>
  <c r="H78" i="3"/>
  <c r="H79" i="3"/>
  <c r="H80" i="3"/>
  <c r="H81" i="3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5" i="1"/>
  <c r="G6" i="1"/>
  <c r="G7" i="1"/>
  <c r="G8" i="1"/>
  <c r="G9" i="1"/>
  <c r="G10" i="1"/>
  <c r="G11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50" i="1"/>
  <c r="G151" i="1"/>
  <c r="G152" i="1"/>
  <c r="G153" i="1"/>
  <c r="G154" i="1"/>
  <c r="G156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5" i="1"/>
  <c r="G246" i="1"/>
  <c r="G247" i="1"/>
  <c r="G248" i="1"/>
  <c r="G251" i="1"/>
  <c r="G252" i="1"/>
  <c r="G253" i="1"/>
  <c r="G254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H5" i="3"/>
  <c r="H6" i="3"/>
  <c r="H7" i="3"/>
  <c r="H8" i="3"/>
  <c r="H9" i="3"/>
  <c r="H10" i="3"/>
  <c r="H11" i="3"/>
  <c r="H12" i="3"/>
  <c r="H13" i="3"/>
  <c r="H14" i="3"/>
  <c r="H16" i="3"/>
  <c r="H17" i="3"/>
  <c r="H18" i="3"/>
  <c r="H19" i="3"/>
  <c r="H20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3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4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F93" i="3"/>
  <c r="F95" i="3"/>
  <c r="F94" i="3"/>
  <c r="F97" i="3"/>
  <c r="F96" i="3"/>
  <c r="F98" i="3"/>
  <c r="F99" i="3"/>
  <c r="F111" i="3" l="1"/>
  <c r="H114" i="3"/>
  <c r="H113" i="3"/>
  <c r="H116" i="3"/>
  <c r="H112" i="3"/>
  <c r="F115" i="3"/>
  <c r="F110" i="3"/>
  <c r="F114" i="3"/>
  <c r="F116" i="3"/>
  <c r="F112" i="3"/>
  <c r="F126" i="3" l="1"/>
  <c r="F129" i="3"/>
  <c r="G250" i="1"/>
  <c r="G300" i="1"/>
  <c r="G249" i="1"/>
  <c r="G282" i="1"/>
  <c r="G279" i="1"/>
  <c r="G280" i="1"/>
  <c r="G292" i="1"/>
  <c r="G115" i="1"/>
  <c r="G294" i="1"/>
  <c r="G302" i="1"/>
  <c r="G278" i="1"/>
  <c r="G293" i="1"/>
  <c r="G291" i="1"/>
  <c r="G286" i="1"/>
  <c r="G285" i="1"/>
  <c r="G301" i="1"/>
  <c r="G116" i="1"/>
  <c r="G244" i="1"/>
  <c r="G357" i="1"/>
  <c r="F357" i="1"/>
  <c r="F365" i="1"/>
  <c r="G365" i="1"/>
  <c r="F255" i="1"/>
  <c r="G255" i="1"/>
  <c r="G4" i="1"/>
  <c r="F4" i="1"/>
  <c r="H125" i="3"/>
  <c r="D125" i="3"/>
  <c r="F125" i="3"/>
  <c r="F170" i="1"/>
  <c r="G170" i="1"/>
  <c r="G312" i="1"/>
  <c r="F312" i="1"/>
  <c r="F311" i="1"/>
  <c r="G311" i="1"/>
  <c r="F303" i="1"/>
  <c r="G303" i="1"/>
  <c r="F306" i="1"/>
  <c r="G306" i="1"/>
  <c r="F326" i="1"/>
  <c r="G366" i="1"/>
  <c r="F366" i="1"/>
  <c r="F172" i="1"/>
  <c r="G172" i="1"/>
  <c r="F299" i="1"/>
  <c r="G299" i="1"/>
  <c r="G157" i="1"/>
  <c r="F157" i="1"/>
  <c r="F314" i="1"/>
  <c r="G314" i="1"/>
  <c r="G284" i="1"/>
  <c r="F284" i="1"/>
  <c r="G155" i="1"/>
  <c r="F155" i="1"/>
  <c r="F298" i="1"/>
  <c r="G298" i="1"/>
  <c r="G171" i="1"/>
  <c r="F171" i="1"/>
</calcChain>
</file>

<file path=xl/sharedStrings.xml><?xml version="1.0" encoding="utf-8"?>
<sst xmlns="http://schemas.openxmlformats.org/spreadsheetml/2006/main" count="1077" uniqueCount="758">
  <si>
    <t>الوصف</t>
  </si>
  <si>
    <t>التكلفة</t>
  </si>
  <si>
    <t>الوحدة</t>
  </si>
  <si>
    <t>تاريخ التصدير</t>
  </si>
  <si>
    <t>الكمية</t>
  </si>
  <si>
    <t>فواشة دبل صيني</t>
  </si>
  <si>
    <t>فواشة قطعه وحدة</t>
  </si>
  <si>
    <t>حنفية bbr بلاستيك</t>
  </si>
  <si>
    <t>سكر 1/2 صيني</t>
  </si>
  <si>
    <t>راكور خزان 3/4</t>
  </si>
  <si>
    <t>كباسة شطاف بلاستيك كروم</t>
  </si>
  <si>
    <t>اكره حديد 3/4 انثى</t>
  </si>
  <si>
    <t>كرت شطاف اسود</t>
  </si>
  <si>
    <t>سكر دحل 1 انش صيني</t>
  </si>
  <si>
    <t>سكر 3/4 دحل صيني</t>
  </si>
  <si>
    <t>راكور خزان 1/2</t>
  </si>
  <si>
    <t>بخاخ صدا</t>
  </si>
  <si>
    <t>كرت شطاف سكر مجوز</t>
  </si>
  <si>
    <t>رقبة كوبرا طويلة</t>
  </si>
  <si>
    <t>بربيش حمام 1.5 سم كروم</t>
  </si>
  <si>
    <t>كرت دوش سماعة سودا</t>
  </si>
  <si>
    <t>كرت دوش سماعه خضرا</t>
  </si>
  <si>
    <t>سكر غساله</t>
  </si>
  <si>
    <t>عزل اسود تايواني</t>
  </si>
  <si>
    <t>خنفية 210 غ</t>
  </si>
  <si>
    <t>كرت شطاف كروم</t>
  </si>
  <si>
    <t>سكر مجوز 1/2ب1/2</t>
  </si>
  <si>
    <t>قلب خلاط نحاس 50غ</t>
  </si>
  <si>
    <t>طبة خلاط موديل</t>
  </si>
  <si>
    <t>طبة خلاط كوستا</t>
  </si>
  <si>
    <t>طبة فوتيس</t>
  </si>
  <si>
    <t>بلاطة مصفاية صيني 15سم</t>
  </si>
  <si>
    <t>مصفاية بلاطة 15 سم خضرا</t>
  </si>
  <si>
    <t>شراقة نحاس 1 انش</t>
  </si>
  <si>
    <t>شراقة نحاس 3/4 انش</t>
  </si>
  <si>
    <t>شراقة نحاس 1/2 انش</t>
  </si>
  <si>
    <t>سن بعزقة كروم 3/4</t>
  </si>
  <si>
    <t>شمسة مسح كروم</t>
  </si>
  <si>
    <t>برجور تنفيس ايطالي</t>
  </si>
  <si>
    <t>نقاصة 3/4 ب 1/2</t>
  </si>
  <si>
    <t>سن ب عزقة 3/4 ب 1/2 كروم</t>
  </si>
  <si>
    <t>اوكرة بسن كروم 1/2 5 سم</t>
  </si>
  <si>
    <t>مربط 1/2</t>
  </si>
  <si>
    <t>مرش بربيش</t>
  </si>
  <si>
    <t>حجر مسن</t>
  </si>
  <si>
    <t>دسك قص وحف 4,5مم</t>
  </si>
  <si>
    <t>راس مرش كولا عادي</t>
  </si>
  <si>
    <t>راس مرشة كولا ثقيلة</t>
  </si>
  <si>
    <t>ووصلة كهربا ثقيلة</t>
  </si>
  <si>
    <t>مقص زراع 14 سن</t>
  </si>
  <si>
    <t>مقص زراع 16 سن</t>
  </si>
  <si>
    <t>مسكة رول</t>
  </si>
  <si>
    <t>فراشي دهان 1</t>
  </si>
  <si>
    <t>فراشي دهان 1,5</t>
  </si>
  <si>
    <t>فراشي دهان 2</t>
  </si>
  <si>
    <t>فراشي دهان 2,5</t>
  </si>
  <si>
    <t>فراشي دهان 3</t>
  </si>
  <si>
    <t>فراشي دهان 4</t>
  </si>
  <si>
    <t>وصلة خرطوم</t>
  </si>
  <si>
    <t>فرد رش حراكات</t>
  </si>
  <si>
    <t>توال ابيض + اسود</t>
  </si>
  <si>
    <t>فاحمات</t>
  </si>
  <si>
    <t>قطعة</t>
  </si>
  <si>
    <t xml:space="preserve">تكلفة الكمية </t>
  </si>
  <si>
    <t>سليكون هولندي 808</t>
  </si>
  <si>
    <t>تي 1/2 انش حديد</t>
  </si>
  <si>
    <t>تي 3/4 انش حديد</t>
  </si>
  <si>
    <t>تي 1 انش حديد</t>
  </si>
  <si>
    <t>سدة 1/2 انش حديد</t>
  </si>
  <si>
    <t xml:space="preserve">سده 3/4 انش حديد </t>
  </si>
  <si>
    <t xml:space="preserve">اوكرة 1/2 انش  حديد </t>
  </si>
  <si>
    <t>كوع 3/4</t>
  </si>
  <si>
    <t xml:space="preserve">كوع 1/2 انش </t>
  </si>
  <si>
    <t xml:space="preserve">كوع بسن 1/2 انش </t>
  </si>
  <si>
    <t>كوع بسن 3/4  انش</t>
  </si>
  <si>
    <t xml:space="preserve">كوع بسن 1 انش </t>
  </si>
  <si>
    <t xml:space="preserve">سن  بعزقة 1/2 انش </t>
  </si>
  <si>
    <t xml:space="preserve">سن بعزقة 3/4 انش </t>
  </si>
  <si>
    <t xml:space="preserve">سن بعزقة 1 انش </t>
  </si>
  <si>
    <t xml:space="preserve">شد وصل 1/2 انش </t>
  </si>
  <si>
    <t>شد وصل 3/4</t>
  </si>
  <si>
    <t xml:space="preserve">نقاصة 1و1/4 الى 1 انش </t>
  </si>
  <si>
    <t>نقاصة 1و 1/4 الى 3/4</t>
  </si>
  <si>
    <t>نقاصة 1و1/4الى 1/2</t>
  </si>
  <si>
    <t>نقاصة من 1 انش الى 3/4</t>
  </si>
  <si>
    <t>نقااصة 3/4 الى1/2</t>
  </si>
  <si>
    <t xml:space="preserve">نقاصىة 1انش الى 1/2 </t>
  </si>
  <si>
    <t xml:space="preserve"> مفصلة ربط بابين</t>
  </si>
  <si>
    <t xml:space="preserve">	مفصلة 180 درجة هيدرولي</t>
  </si>
  <si>
    <t xml:space="preserve">sr  fbz100b خلاط مغسلة شك قصير </t>
  </si>
  <si>
    <t xml:space="preserve">sr fbz100blخلاط مغسلة شك طويل </t>
  </si>
  <si>
    <t>اسافين سوبر 6م</t>
  </si>
  <si>
    <t xml:space="preserve">اكسسوار حمام سايروس ثقيل </t>
  </si>
  <si>
    <t xml:space="preserve">اكسسوار حمام سايروس خفيف </t>
  </si>
  <si>
    <t xml:space="preserve">التيكو مع بخاخ </t>
  </si>
  <si>
    <t>اوكرا سن كروم 2سم 1/2انش</t>
  </si>
  <si>
    <t>اوكرا سن كروم 3سم 1/2انش</t>
  </si>
  <si>
    <t>اوكرة حديد بسن 3/4</t>
  </si>
  <si>
    <t>اوكرة سن كروم 4 سم</t>
  </si>
  <si>
    <t>براغي تثبيت كرسي</t>
  </si>
  <si>
    <t>بربيش تواليت سيلكون رمادي</t>
  </si>
  <si>
    <t>بربيش تواليت كروم خفيف</t>
  </si>
  <si>
    <t>بربيش حمام كروم 100مم</t>
  </si>
  <si>
    <t>بربيش راصور حمام 150 سم</t>
  </si>
  <si>
    <t>بربيش سليكون حرير</t>
  </si>
  <si>
    <t>بربيش سليكون رمادي ثقيل 150سم</t>
  </si>
  <si>
    <t xml:space="preserve">بصاب عدم رجوع </t>
  </si>
  <si>
    <t xml:space="preserve">تفون صغير </t>
  </si>
  <si>
    <t>تي 1/2 انش كروم 304</t>
  </si>
  <si>
    <t xml:space="preserve">تيب عزل اسود عريض </t>
  </si>
  <si>
    <t xml:space="preserve">تيفلون سايروس 30 م </t>
  </si>
  <si>
    <t>جوان حشر</t>
  </si>
  <si>
    <t xml:space="preserve">حمالة خزانين زاوية ثقيل </t>
  </si>
  <si>
    <t xml:space="preserve">حمالة خزانين زاوية خفيف </t>
  </si>
  <si>
    <t xml:space="preserve">حنفية PPR سن نحاس </t>
  </si>
  <si>
    <t xml:space="preserve">حنفية برم نحاس / 1/2 انش </t>
  </si>
  <si>
    <t>حنفية دحل مازوت نحاس</t>
  </si>
  <si>
    <t xml:space="preserve">حنفية دحل نحاس 135غ صيني </t>
  </si>
  <si>
    <t>حنفية دحل نحاس 200غ صيني</t>
  </si>
  <si>
    <t xml:space="preserve">حنفية دحل نحاس 210غ </t>
  </si>
  <si>
    <t xml:space="preserve">حنفية شك تركي </t>
  </si>
  <si>
    <t xml:space="preserve">حنفية شك مصري فوتيس </t>
  </si>
  <si>
    <t>حنفية غساله إيطالي 3/4ب1/2</t>
  </si>
  <si>
    <t xml:space="preserve">حنفية كروم طويلة </t>
  </si>
  <si>
    <t xml:space="preserve">حنفية كروم قصيرة  </t>
  </si>
  <si>
    <t xml:space="preserve">حنفية كروم قصيرة نص برمة </t>
  </si>
  <si>
    <t xml:space="preserve">حنفية موديل بوغاتي نحاس </t>
  </si>
  <si>
    <t xml:space="preserve">حنفية نحاس دحل تقيلة </t>
  </si>
  <si>
    <t xml:space="preserve">خلاط bsl جداري نحاس </t>
  </si>
  <si>
    <t>خلاط BSL حمام</t>
  </si>
  <si>
    <t xml:space="preserve">خلاط BSL شك نحاس </t>
  </si>
  <si>
    <t>خلاط تواليت sr fstz400b</t>
  </si>
  <si>
    <t>خلاط تواليت sr fstz410c</t>
  </si>
  <si>
    <t xml:space="preserve">خلاط تواليت مع كباسة مصري كروم </t>
  </si>
  <si>
    <t>خلاط حمام مع دوش sr fsz300b</t>
  </si>
  <si>
    <t>خلاط حمام مع دوش sr fsz300c</t>
  </si>
  <si>
    <t>خلاط حمام مع دوش sr fsz 310c</t>
  </si>
  <si>
    <t>خلاط دفن جداري 2401</t>
  </si>
  <si>
    <t xml:space="preserve">خلاط زمك خفيف جداري </t>
  </si>
  <si>
    <t xml:space="preserve">خلاط زمك خفيف حمام </t>
  </si>
  <si>
    <t xml:space="preserve">خلاط زمك شك انفنتي </t>
  </si>
  <si>
    <t>خلاط شك طويل sr fbz100cl</t>
  </si>
  <si>
    <t>خلاط شك قصير fbz130c</t>
  </si>
  <si>
    <t>خلاط شك قصير sr fbb100c</t>
  </si>
  <si>
    <t>خلاط شك قصير sr fbz110c</t>
  </si>
  <si>
    <t>خلاط شك قصير sr fbz140c</t>
  </si>
  <si>
    <t>خلاط شك مغسلة طويل sr fbz120cl</t>
  </si>
  <si>
    <t>خلاط شك مغسلة قصير sr fbz120c</t>
  </si>
  <si>
    <t>خلاط شيف معكوف</t>
  </si>
  <si>
    <t xml:space="preserve">خلاط كروم مت 304 شك </t>
  </si>
  <si>
    <t xml:space="preserve">خلاط كروم مت 304 شك مجلى </t>
  </si>
  <si>
    <t xml:space="preserve">خلاط كروم مت 304 شك معكوف </t>
  </si>
  <si>
    <t>خلاط كروم مت مع سحابة 304</t>
  </si>
  <si>
    <t>خلاط مجلى راصور</t>
  </si>
  <si>
    <t xml:space="preserve">خلاط مجلىsr fkz200b </t>
  </si>
  <si>
    <t>خلاط مجلىsr fkz200c</t>
  </si>
  <si>
    <t xml:space="preserve">خلاط مصري اسود حمام </t>
  </si>
  <si>
    <t xml:space="preserve">خلاط مصري اسود مجلى شك </t>
  </si>
  <si>
    <t xml:space="preserve">خلاط مصري اسود مغسلة جداري </t>
  </si>
  <si>
    <t xml:space="preserve">خلاط مصري كروم حمام </t>
  </si>
  <si>
    <t xml:space="preserve">خلاط مصري كروم معكوف </t>
  </si>
  <si>
    <t>خلاط مغسلة شك كروم 304</t>
  </si>
  <si>
    <t xml:space="preserve">دولاب عشراوية عادي </t>
  </si>
  <si>
    <t xml:space="preserve">رقبة خلاط خفيف عكازة </t>
  </si>
  <si>
    <t>رقبة خلاط خفيف مد</t>
  </si>
  <si>
    <t xml:space="preserve">رقبة خلاط كروم كوبرا </t>
  </si>
  <si>
    <t xml:space="preserve">رقبة سليكون مع طربوش </t>
  </si>
  <si>
    <t>رقبة كروم متحركة طربوش</t>
  </si>
  <si>
    <t xml:space="preserve">رقبة ملونة متحركة بدون طربوش </t>
  </si>
  <si>
    <t>ريشة نمساوي باطون +حجر 150سم</t>
  </si>
  <si>
    <t xml:space="preserve">ريغار 15ب15 فيتيكس </t>
  </si>
  <si>
    <t xml:space="preserve">زند طاقة قلاب </t>
  </si>
  <si>
    <t xml:space="preserve">سحابة دوش سريوس طاسة مدورة ابيض </t>
  </si>
  <si>
    <t xml:space="preserve">سحابة دوش سريوس طاسة مربعه اسود </t>
  </si>
  <si>
    <t>سحابة دوش صيني bsl</t>
  </si>
  <si>
    <t>سحابة دوش كروم سيخ مدور mhb</t>
  </si>
  <si>
    <t>سكة خرادق 30  الى 55</t>
  </si>
  <si>
    <t>سكر اعمى 1/2ب3/4 MHB</t>
  </si>
  <si>
    <t>سكر اعمى 1/2ب3/8 MHB</t>
  </si>
  <si>
    <t xml:space="preserve">سكر اعمى خفيف الماجد </t>
  </si>
  <si>
    <t>سكر اعمى سيريوس 1/2ب1/2</t>
  </si>
  <si>
    <t>سكر اعمى سيريوس 1/2ب1/2 نص برمى</t>
  </si>
  <si>
    <t>سكر دحل صيني 1/2 انش</t>
  </si>
  <si>
    <t>سكر دحل صيني 1انش 305غ</t>
  </si>
  <si>
    <t xml:space="preserve">سكر دحل صيني 3/4انش </t>
  </si>
  <si>
    <t xml:space="preserve">سكر سوبر مجوز </t>
  </si>
  <si>
    <t>سكر شمسة PPR قياس 25</t>
  </si>
  <si>
    <t xml:space="preserve">سكر غسالة نحاس صيني </t>
  </si>
  <si>
    <t xml:space="preserve">سكر مجوز صيني فتحة جانبية </t>
  </si>
  <si>
    <t>سكر نحاس دحل صني 1 انش</t>
  </si>
  <si>
    <t xml:space="preserve">سكر نحاس مصري تقيل 1 انش </t>
  </si>
  <si>
    <t>سكرسوبر مسطرة مجوز</t>
  </si>
  <si>
    <t>سليكون بلومات تركي 280غ</t>
  </si>
  <si>
    <t>سليكون موديل هولندي (صيني)</t>
  </si>
  <si>
    <t xml:space="preserve">سماعة دوش راس متحرك </t>
  </si>
  <si>
    <t xml:space="preserve">سماعة دوش كروم 304 مت </t>
  </si>
  <si>
    <t>سن بعزقة 3/4ب1/2</t>
  </si>
  <si>
    <t>سن بعزقة كروم 1/2 انش</t>
  </si>
  <si>
    <t>سن بعزقة كروم 3/4ب 1/2</t>
  </si>
  <si>
    <t>سيخ دوش كروم 125سم</t>
  </si>
  <si>
    <t>سيخ سخان موديل ايطالي 90سم</t>
  </si>
  <si>
    <t>شطاف فيدال كروم خفيف</t>
  </si>
  <si>
    <t xml:space="preserve">شطاف كروم ثقيل مت </t>
  </si>
  <si>
    <t>شطاف كروم سايروس</t>
  </si>
  <si>
    <t xml:space="preserve">شطاف كروم وسط كيس ازرق </t>
  </si>
  <si>
    <t xml:space="preserve">شطاف مع كباسة بيضاء خفيف </t>
  </si>
  <si>
    <t xml:space="preserve">شطاف نيمو كروم </t>
  </si>
  <si>
    <t>شمسة مسح</t>
  </si>
  <si>
    <t xml:space="preserve">شمسة هرم </t>
  </si>
  <si>
    <t>صباب مجلى نحاس قياس 9</t>
  </si>
  <si>
    <t>صباب مغسلة كروم mhb قياس 9</t>
  </si>
  <si>
    <t>طاسة دوش مدورة 33سم</t>
  </si>
  <si>
    <t>طاسة دوش مربعه 15س</t>
  </si>
  <si>
    <t xml:space="preserve">طبة ليزرية قرص 3سم المنيوم </t>
  </si>
  <si>
    <t xml:space="preserve">طبة ليزرية قرص 5سم المنيوم </t>
  </si>
  <si>
    <t xml:space="preserve">عدة كرسي اسباني فيتكس </t>
  </si>
  <si>
    <t xml:space="preserve">فواشة نحاس صيني 1/2 انش </t>
  </si>
  <si>
    <t>قلب سكر شمسة 1/2</t>
  </si>
  <si>
    <t>قلب سكر شمسة 3/4</t>
  </si>
  <si>
    <t xml:space="preserve">قلب نحاس 70غ صيني </t>
  </si>
  <si>
    <t>قلب نحاس إيطالي 70غ</t>
  </si>
  <si>
    <t xml:space="preserve">كباسة شطاف كروم ثفيل </t>
  </si>
  <si>
    <t xml:space="preserve">كباسة شطف بيضاء خفيف </t>
  </si>
  <si>
    <t xml:space="preserve">كباسة غروهي </t>
  </si>
  <si>
    <t>كرت  دوش نيمو تقيل بكرتونة نيمو</t>
  </si>
  <si>
    <t xml:space="preserve">كرت دوش اسود بربيش دبل بولاد </t>
  </si>
  <si>
    <t xml:space="preserve">كرت دوش سماعة سودا </t>
  </si>
  <si>
    <t xml:space="preserve">كرت دوش سماعه خضرا </t>
  </si>
  <si>
    <t>كوع انثى كروم 1/2 انش 304</t>
  </si>
  <si>
    <t>كوع ذكر 1/2 انش كروم 304</t>
  </si>
  <si>
    <t>مجلى 50*80سم</t>
  </si>
  <si>
    <t>مجلى بيانو</t>
  </si>
  <si>
    <t xml:space="preserve">مسكة مدخل المنيوم باقي الألوان </t>
  </si>
  <si>
    <t xml:space="preserve">مسكة منخل المنيوم لون خشبي </t>
  </si>
  <si>
    <t>مصافية بلاطة ff خضرا 15 س</t>
  </si>
  <si>
    <t>مصفاية 15ب15 فيتيكس ثقيلة</t>
  </si>
  <si>
    <t>مصفاية بلاطة f f زرقة 15س</t>
  </si>
  <si>
    <t>مصفاية بلاطة شواية 8سم ب 30</t>
  </si>
  <si>
    <t>مصفاية بلاطة صيني 15 س علبة اسود</t>
  </si>
  <si>
    <t>مفصلة 180 درجة بدون هيدروليك</t>
  </si>
  <si>
    <t>مفصلة 45 درجة  بدون هيدروليك</t>
  </si>
  <si>
    <t>مفصلة 45 درجة هيدروليك</t>
  </si>
  <si>
    <t>مفصلة 60 غرام</t>
  </si>
  <si>
    <t>مفصلة htc يدروليك</t>
  </si>
  <si>
    <t xml:space="preserve">مفصلة شبح  120 htc </t>
  </si>
  <si>
    <t>مفصلة طبش</t>
  </si>
  <si>
    <t xml:space="preserve">مفصلة قزمة قصيرة	</t>
  </si>
  <si>
    <t>نقاصة حديد من 1و1/2 الى 1و1/4</t>
  </si>
  <si>
    <t>نقاصة حديد من 1و1/2 الى 2</t>
  </si>
  <si>
    <t>نقاصة حديد من 1و1/4 الى 3/4</t>
  </si>
  <si>
    <t>نقاصة من 1و1/4 الى 2</t>
  </si>
  <si>
    <t>هراب مجلى ابيض</t>
  </si>
  <si>
    <t xml:space="preserve">هراب مزدوج رمادي </t>
  </si>
  <si>
    <t>هراب مع نقاصة سوبر</t>
  </si>
  <si>
    <t xml:space="preserve">هراب معغسلة wl رمادي قمع </t>
  </si>
  <si>
    <t xml:space="preserve">هراب مغسلة ابيض </t>
  </si>
  <si>
    <t xml:space="preserve">هراب مغسلة اوسكار </t>
  </si>
  <si>
    <t>وصلة بولاد 3/8 ب 1/2 50سم</t>
  </si>
  <si>
    <t>وصلة بولاد 304 /60سم</t>
  </si>
  <si>
    <t>وصلة بولاد 304 /60سم ضغط عالي</t>
  </si>
  <si>
    <t xml:space="preserve">وصلة بولاد 304 /80سم </t>
  </si>
  <si>
    <t xml:space="preserve">وصلة بولاد 40 سم عادي </t>
  </si>
  <si>
    <t>الرقم</t>
  </si>
  <si>
    <t>اوكره بسن كروم 3/4 / 1/2</t>
  </si>
  <si>
    <t xml:space="preserve">خلاط ايديال إيطالي </t>
  </si>
  <si>
    <t>راكور خزان</t>
  </si>
  <si>
    <t>حنفية راكور برم كروم مصري</t>
  </si>
  <si>
    <t>حنفية مصري طويلة كروم</t>
  </si>
  <si>
    <t xml:space="preserve">رقبة سليكون ملونة متحركة طربوش </t>
  </si>
  <si>
    <t>سكر اعمى 1/2ب1/2 mhb</t>
  </si>
  <si>
    <t>اوكرة بسن كروم 1/2 5 سم فوال</t>
  </si>
  <si>
    <t>خلاط معكوف مغسلة ذهبي مصري</t>
  </si>
  <si>
    <t xml:space="preserve">خلاط شك مجلى مصري ذهبي </t>
  </si>
  <si>
    <t xml:space="preserve">شطاف  نحاس ذهبي اونكس </t>
  </si>
  <si>
    <t xml:space="preserve">هراب مجلى اوسكار </t>
  </si>
  <si>
    <t xml:space="preserve"> حفر tip on</t>
  </si>
  <si>
    <t xml:space="preserve"> طبش tip on</t>
  </si>
  <si>
    <t xml:space="preserve"> L17</t>
  </si>
  <si>
    <t xml:space="preserve"> L16</t>
  </si>
  <si>
    <t>L116</t>
  </si>
  <si>
    <t>L115</t>
  </si>
  <si>
    <t>اوكره حديد 3/4 انثى</t>
  </si>
  <si>
    <t>L145</t>
  </si>
  <si>
    <t>بربيش حمام 1م  سليكون رمادي خفيف</t>
  </si>
  <si>
    <t>L146</t>
  </si>
  <si>
    <t>L149</t>
  </si>
  <si>
    <t xml:space="preserve">بربيش دوش غروهي </t>
  </si>
  <si>
    <t>L195</t>
  </si>
  <si>
    <t>L148</t>
  </si>
  <si>
    <t>L147</t>
  </si>
  <si>
    <t>L131</t>
  </si>
  <si>
    <t>L150</t>
  </si>
  <si>
    <t>l199</t>
  </si>
  <si>
    <t>جوان كرسي حمام كودو</t>
  </si>
  <si>
    <t>L200</t>
  </si>
  <si>
    <t>L93</t>
  </si>
  <si>
    <t>حنفية برم نحاس1/2 انش راكور</t>
  </si>
  <si>
    <t>L151</t>
  </si>
  <si>
    <t>حنفية برندا برم نحاس / 1/2 انش مصري</t>
  </si>
  <si>
    <t>حنفية جداري مصري فوتيس راكور</t>
  </si>
  <si>
    <t>L84</t>
  </si>
  <si>
    <t>L101</t>
  </si>
  <si>
    <t>L106</t>
  </si>
  <si>
    <t>L152</t>
  </si>
  <si>
    <t>L99</t>
  </si>
  <si>
    <t>L9</t>
  </si>
  <si>
    <t>L153</t>
  </si>
  <si>
    <t>L64</t>
  </si>
  <si>
    <t>L97</t>
  </si>
  <si>
    <t>L102</t>
  </si>
  <si>
    <t>L59</t>
  </si>
  <si>
    <t>L154</t>
  </si>
  <si>
    <t>خلاط  حمام مصري كروم 200</t>
  </si>
  <si>
    <t>L155</t>
  </si>
  <si>
    <t>L34</t>
  </si>
  <si>
    <t>L107</t>
  </si>
  <si>
    <t>L36</t>
  </si>
  <si>
    <t xml:space="preserve">خلاط ازرار مع سحابة موديل غروهي </t>
  </si>
  <si>
    <t>L124</t>
  </si>
  <si>
    <t>L1</t>
  </si>
  <si>
    <t>L28</t>
  </si>
  <si>
    <t>L27</t>
  </si>
  <si>
    <t>خلاط تواليت كروم 304 جداري</t>
  </si>
  <si>
    <t>L38</t>
  </si>
  <si>
    <t>L29</t>
  </si>
  <si>
    <t xml:space="preserve">خلاط جداري غروهي </t>
  </si>
  <si>
    <t>L121</t>
  </si>
  <si>
    <t>خلاط جداري كوستا نحاس  BITEL</t>
  </si>
  <si>
    <t>L104</t>
  </si>
  <si>
    <t>خلاط حمام ذهبي مصري</t>
  </si>
  <si>
    <t>L7</t>
  </si>
  <si>
    <t xml:space="preserve">خلاط حمام غروهي </t>
  </si>
  <si>
    <t>L122</t>
  </si>
  <si>
    <t>خلاط حمام كروم مت مع سحابة 304</t>
  </si>
  <si>
    <t>L42</t>
  </si>
  <si>
    <t>خلاط حمام كوستا نحاس BITEL</t>
  </si>
  <si>
    <t>L105</t>
  </si>
  <si>
    <t>L24</t>
  </si>
  <si>
    <t>L26</t>
  </si>
  <si>
    <t>L23</t>
  </si>
  <si>
    <t>L25</t>
  </si>
  <si>
    <t>L79</t>
  </si>
  <si>
    <t>L13</t>
  </si>
  <si>
    <t>L19</t>
  </si>
  <si>
    <t>L22</t>
  </si>
  <si>
    <t>L20</t>
  </si>
  <si>
    <t>L21</t>
  </si>
  <si>
    <t>خلاط شك قصير غروهي</t>
  </si>
  <si>
    <t>L138</t>
  </si>
  <si>
    <t>خلاط شك كوستا نحاس BITEL</t>
  </si>
  <si>
    <t>L197</t>
  </si>
  <si>
    <t>L8</t>
  </si>
  <si>
    <t>خلاط شك مصري كروم مجلى 200</t>
  </si>
  <si>
    <t>L117</t>
  </si>
  <si>
    <t>L15</t>
  </si>
  <si>
    <t>L18</t>
  </si>
  <si>
    <t>L80</t>
  </si>
  <si>
    <t>خلاط عالي غروهي</t>
  </si>
  <si>
    <t>L136</t>
  </si>
  <si>
    <t>L33</t>
  </si>
  <si>
    <t>L31</t>
  </si>
  <si>
    <t xml:space="preserve">خلاط مجلى  غروهي </t>
  </si>
  <si>
    <t>L137</t>
  </si>
  <si>
    <t>L10</t>
  </si>
  <si>
    <t>L14</t>
  </si>
  <si>
    <t>L12</t>
  </si>
  <si>
    <t>L81</t>
  </si>
  <si>
    <t>L126</t>
  </si>
  <si>
    <t>L78</t>
  </si>
  <si>
    <t>خلاط مصري كروم معكوف 200</t>
  </si>
  <si>
    <t>L71</t>
  </si>
  <si>
    <t>L74</t>
  </si>
  <si>
    <t>L32</t>
  </si>
  <si>
    <t>خلاط مغسلة مصري كروم 200</t>
  </si>
  <si>
    <t>L72</t>
  </si>
  <si>
    <t>دسك قص + حف 7</t>
  </si>
  <si>
    <t>L156</t>
  </si>
  <si>
    <t>L157</t>
  </si>
  <si>
    <t>رقبة خلاط كروم تقيل قصيرة</t>
  </si>
  <si>
    <t>L158</t>
  </si>
  <si>
    <t>L159</t>
  </si>
  <si>
    <t>رقبة سليكون مع طربوش هرم</t>
  </si>
  <si>
    <t>L160</t>
  </si>
  <si>
    <t>L65</t>
  </si>
  <si>
    <t>L140</t>
  </si>
  <si>
    <t>L67</t>
  </si>
  <si>
    <t>L127</t>
  </si>
  <si>
    <t xml:space="preserve">ريكار 30*30 ريزين </t>
  </si>
  <si>
    <t>L190</t>
  </si>
  <si>
    <t xml:space="preserve">ريكار 35*35 ريزين </t>
  </si>
  <si>
    <t>L191</t>
  </si>
  <si>
    <t xml:space="preserve">ريكار 40*40 ريزين </t>
  </si>
  <si>
    <t>L192</t>
  </si>
  <si>
    <t xml:space="preserve">ريكار 60*60 ريزين </t>
  </si>
  <si>
    <t>L193</t>
  </si>
  <si>
    <t xml:space="preserve">سحابة دبل صيني DAMO </t>
  </si>
  <si>
    <t>L194</t>
  </si>
  <si>
    <t xml:space="preserve">سحابة دبل غروهي </t>
  </si>
  <si>
    <t>L123</t>
  </si>
  <si>
    <t>L114</t>
  </si>
  <si>
    <t>L30</t>
  </si>
  <si>
    <t>L132</t>
  </si>
  <si>
    <t>سحابة دوش صيني خفيف مفردة mhb</t>
  </si>
  <si>
    <t>L37</t>
  </si>
  <si>
    <t xml:space="preserve">سكر  نحاس 1/2 ثقيل </t>
  </si>
  <si>
    <t>L91</t>
  </si>
  <si>
    <t xml:space="preserve">سكر  نحاس 3/4 ثقيل </t>
  </si>
  <si>
    <t>L89</t>
  </si>
  <si>
    <t>L57</t>
  </si>
  <si>
    <t>L58</t>
  </si>
  <si>
    <t>L103</t>
  </si>
  <si>
    <t>L66</t>
  </si>
  <si>
    <t>L60</t>
  </si>
  <si>
    <t>سكر اعمى نحاس طبة صغيرة golden 1/2</t>
  </si>
  <si>
    <t>L68</t>
  </si>
  <si>
    <t>L94</t>
  </si>
  <si>
    <t>L87</t>
  </si>
  <si>
    <t>L90</t>
  </si>
  <si>
    <t>L61</t>
  </si>
  <si>
    <t>L95</t>
  </si>
  <si>
    <t>L162</t>
  </si>
  <si>
    <t xml:space="preserve">سكر كروم شطاف مفرد تقيل </t>
  </si>
  <si>
    <t>L83</t>
  </si>
  <si>
    <t>L98</t>
  </si>
  <si>
    <t>سكر مجوز مع حمالة</t>
  </si>
  <si>
    <t>L96</t>
  </si>
  <si>
    <t>L119</t>
  </si>
  <si>
    <t>L88</t>
  </si>
  <si>
    <t>سكر نص دورة 5008 كروم</t>
  </si>
  <si>
    <t>L62</t>
  </si>
  <si>
    <t>سكر نص دورة 5015 اسود</t>
  </si>
  <si>
    <t>L100</t>
  </si>
  <si>
    <t>L63</t>
  </si>
  <si>
    <t>L163</t>
  </si>
  <si>
    <t>L164</t>
  </si>
  <si>
    <t>L165</t>
  </si>
  <si>
    <t>سماعة دوش خفيفة</t>
  </si>
  <si>
    <t>L44</t>
  </si>
  <si>
    <t xml:space="preserve">سماعة دوش غروهي مع بربيش </t>
  </si>
  <si>
    <t>L196</t>
  </si>
  <si>
    <t>L43</t>
  </si>
  <si>
    <t>L134</t>
  </si>
  <si>
    <t>L166</t>
  </si>
  <si>
    <t>L52</t>
  </si>
  <si>
    <t>L53</t>
  </si>
  <si>
    <t>L56</t>
  </si>
  <si>
    <t>L47</t>
  </si>
  <si>
    <t>L111</t>
  </si>
  <si>
    <t>L110</t>
  </si>
  <si>
    <t>صباب مغسلة كروم وسط قياس 9 زمك</t>
  </si>
  <si>
    <t>L139</t>
  </si>
  <si>
    <t>L167</t>
  </si>
  <si>
    <t>طقم شك اسود تركي خلاط mhb</t>
  </si>
  <si>
    <t>L6</t>
  </si>
  <si>
    <t>طقم شك ذهبي تركي  خلاط mhb</t>
  </si>
  <si>
    <t>L73</t>
  </si>
  <si>
    <t>طقم شك كروم تركي خلاط mhb</t>
  </si>
  <si>
    <t>L75</t>
  </si>
  <si>
    <t>L82</t>
  </si>
  <si>
    <t xml:space="preserve">فواشة دبل صيني </t>
  </si>
  <si>
    <t>L76</t>
  </si>
  <si>
    <t>L77</t>
  </si>
  <si>
    <t>L4</t>
  </si>
  <si>
    <t>L169</t>
  </si>
  <si>
    <t>L170</t>
  </si>
  <si>
    <t>L171</t>
  </si>
  <si>
    <t>L55</t>
  </si>
  <si>
    <t xml:space="preserve">كباسة شطاف بيضاء خفيف </t>
  </si>
  <si>
    <t>L54</t>
  </si>
  <si>
    <t>L41</t>
  </si>
  <si>
    <t xml:space="preserve">كباسة شطاف كروم لون اسود ثقيل </t>
  </si>
  <si>
    <t>L40</t>
  </si>
  <si>
    <t>L70</t>
  </si>
  <si>
    <t>L50</t>
  </si>
  <si>
    <t xml:space="preserve">كرت دوش  اسود mhb كبيرة </t>
  </si>
  <si>
    <t>L51</t>
  </si>
  <si>
    <t>L48</t>
  </si>
  <si>
    <t>L46</t>
  </si>
  <si>
    <t>L49</t>
  </si>
  <si>
    <t>L39</t>
  </si>
  <si>
    <t>L85</t>
  </si>
  <si>
    <t xml:space="preserve">كرت شطاف غروهي </t>
  </si>
  <si>
    <t>L198</t>
  </si>
  <si>
    <t>L172</t>
  </si>
  <si>
    <t>L135</t>
  </si>
  <si>
    <t>L173</t>
  </si>
  <si>
    <t>L128</t>
  </si>
  <si>
    <t>L174</t>
  </si>
  <si>
    <t>مصفاية بلاطة ff خضرا 15 c</t>
  </si>
  <si>
    <t>L175</t>
  </si>
  <si>
    <t>L113</t>
  </si>
  <si>
    <t>مصفاية بلاطة صيني 15 c علبة اسود</t>
  </si>
  <si>
    <t>L176</t>
  </si>
  <si>
    <t>مصفاية بلاطه سيفون 15 c</t>
  </si>
  <si>
    <t>L184</t>
  </si>
  <si>
    <t>L181</t>
  </si>
  <si>
    <t>L178</t>
  </si>
  <si>
    <t xml:space="preserve">هراب مع صباب رمادي مغسلة </t>
  </si>
  <si>
    <t>L179</t>
  </si>
  <si>
    <t>L180</t>
  </si>
  <si>
    <t>L177</t>
  </si>
  <si>
    <t>L183</t>
  </si>
  <si>
    <t>L182</t>
  </si>
  <si>
    <t xml:space="preserve">وجاء حمام 7دوزيم مبخوخ </t>
  </si>
  <si>
    <t>L189</t>
  </si>
  <si>
    <t xml:space="preserve">وجاء حمام ستانليس 7 دوزيم </t>
  </si>
  <si>
    <t>L188</t>
  </si>
  <si>
    <t>L144</t>
  </si>
  <si>
    <t>وصلة بولاد 304 /50سم كروم</t>
  </si>
  <si>
    <t>L143</t>
  </si>
  <si>
    <t>L141</t>
  </si>
  <si>
    <t>L185</t>
  </si>
  <si>
    <t>L142</t>
  </si>
  <si>
    <t>L186</t>
  </si>
  <si>
    <t xml:space="preserve">وصلة بولاد 50 سم ضغط عالي عزقة نحاس </t>
  </si>
  <si>
    <t>L187</t>
  </si>
  <si>
    <t>تاريخ الدخول</t>
  </si>
  <si>
    <t>الكود</t>
  </si>
  <si>
    <t xml:space="preserve"> الصادر </t>
  </si>
  <si>
    <t xml:space="preserve">سحب أيوب </t>
  </si>
  <si>
    <t>الملاحظات</t>
  </si>
  <si>
    <t>رقبة متحركة طربوش</t>
  </si>
  <si>
    <t>بخاخ التكو</t>
  </si>
  <si>
    <t>اكره بسن كروم 5سم</t>
  </si>
  <si>
    <t>اكره بسن كروم 3/4 / 1/2</t>
  </si>
  <si>
    <t>ديل قص و حف 7</t>
  </si>
  <si>
    <t>ديل قص و حف 4.5</t>
  </si>
  <si>
    <t>مرش على كرت</t>
  </si>
  <si>
    <t>جلخ900 W كهربا</t>
  </si>
  <si>
    <t>جلخ 710Wكهربا</t>
  </si>
  <si>
    <t>ايفو مع قاعدة</t>
  </si>
  <si>
    <t>حمالة صابون قاعدة</t>
  </si>
  <si>
    <t>حمالة صابون تعليق ق4</t>
  </si>
  <si>
    <t>علاقة ملابس ق4</t>
  </si>
  <si>
    <t>علاقة ملابس ق6</t>
  </si>
  <si>
    <t>ازميل كسارة SDS + شوكة</t>
  </si>
  <si>
    <t>لقمة قفل طرفين عادية 6.5سم</t>
  </si>
  <si>
    <t>لقمة قفل طرفين ثقيلة 6.5سم</t>
  </si>
  <si>
    <t>خطاف نجاصة6سم</t>
  </si>
  <si>
    <t>خطاف نجاصة7سم</t>
  </si>
  <si>
    <t>سلاسل بروتز3مم</t>
  </si>
  <si>
    <t>قطاعة باطون ثقيلة المانية180مم</t>
  </si>
  <si>
    <t xml:space="preserve">رول دهان كامل </t>
  </si>
  <si>
    <t>قفل هلال ق2</t>
  </si>
  <si>
    <t>قفل هلال ق2.5</t>
  </si>
  <si>
    <t>ميزان زرنت ليزرية  40سم</t>
  </si>
  <si>
    <t>زوايا خضراء 4 سم</t>
  </si>
  <si>
    <t xml:space="preserve">ميزان شقلة ليزري مع قاعده </t>
  </si>
  <si>
    <t>زوايا سوداء 6 سم</t>
  </si>
  <si>
    <t>متر ازرق ثقيل شفرة5م</t>
  </si>
  <si>
    <t>متر ازرق ثقيل شفرة 7.5م</t>
  </si>
  <si>
    <t>مسطرين دهبي 7</t>
  </si>
  <si>
    <t>خلاط دهان كروم 4سم</t>
  </si>
  <si>
    <t>وصلة كهربا ثقيلة</t>
  </si>
  <si>
    <t>منكوش طرفين 2 شعب</t>
  </si>
  <si>
    <t>منكوش طرفين 3 شعب</t>
  </si>
  <si>
    <t>عصاية قظمة</t>
  </si>
  <si>
    <t>مشط زراعي 12سن</t>
  </si>
  <si>
    <t>فتاحة سبوت 7 سم</t>
  </si>
  <si>
    <t>فتاحة سبوت 14 سم</t>
  </si>
  <si>
    <t>لقمة مكواية ثقيلة25مم</t>
  </si>
  <si>
    <t>لقمة مكواية ثقيلة32مم</t>
  </si>
  <si>
    <t>لقمة مكواية وسط 25مم</t>
  </si>
  <si>
    <t>لقمة مكواية وسط32 مم</t>
  </si>
  <si>
    <t>صندوق عدة بلاستيك</t>
  </si>
  <si>
    <t>صندوق عدة قفل معدن</t>
  </si>
  <si>
    <t>صندوق عدة معدن</t>
  </si>
  <si>
    <t xml:space="preserve">مكواية بواري غالية معدن </t>
  </si>
  <si>
    <t xml:space="preserve">مكواية بواري وسط  مع مقص </t>
  </si>
  <si>
    <t>لاصق باتكس</t>
  </si>
  <si>
    <t>معجوونة حديد ايكوكسي</t>
  </si>
  <si>
    <t>دبل فيتس شفاف</t>
  </si>
  <si>
    <t>دبل فيتس عريض ابيض</t>
  </si>
  <si>
    <t>كاوي  اصبع ثقيل ابيض 60w</t>
  </si>
  <si>
    <t>كاوي اصبع عريض اسود</t>
  </si>
  <si>
    <t>كاوي قصدير مع ملاقط 12v</t>
  </si>
  <si>
    <t>بكرة لحام قصدير1.5مم</t>
  </si>
  <si>
    <t xml:space="preserve">قاطعة باطون صيني </t>
  </si>
  <si>
    <t>بربيش تواليت سيلكون رمادي خفيف 1متر</t>
  </si>
  <si>
    <t>خلاط مغسلة شك كروم مصري</t>
  </si>
  <si>
    <t>وصلة شك بولاد 40سم</t>
  </si>
  <si>
    <t>نقاصة من 1  الى 1/2 حديد</t>
  </si>
  <si>
    <t>المتبقي</t>
  </si>
  <si>
    <t xml:space="preserve">كرسي معلق زنوبيا قصير </t>
  </si>
  <si>
    <t>L202</t>
  </si>
  <si>
    <t xml:space="preserve">كرسي معلق زنوبيا </t>
  </si>
  <si>
    <t>L203</t>
  </si>
  <si>
    <t>غطا كرسي هيدروليك</t>
  </si>
  <si>
    <t>L204</t>
  </si>
  <si>
    <t>غطا كرسي عادي</t>
  </si>
  <si>
    <t>L205</t>
  </si>
  <si>
    <t>سماعة دوش نيمو</t>
  </si>
  <si>
    <t>L45</t>
  </si>
  <si>
    <t>L206</t>
  </si>
  <si>
    <t>مصفاية 20c</t>
  </si>
  <si>
    <t>L129</t>
  </si>
  <si>
    <t>L201</t>
  </si>
  <si>
    <t xml:space="preserve">جوان فاصل بين خزان وكرسي </t>
  </si>
  <si>
    <t xml:space="preserve">sr ss700سحابة دوش   دبل طاسة مدورة ابيض </t>
  </si>
  <si>
    <t>sr ss750سحابة دوش طاسة مدورة اسود</t>
  </si>
  <si>
    <t>حنفية راكور فوتيس كروم</t>
  </si>
  <si>
    <t>L92</t>
  </si>
  <si>
    <t xml:space="preserve">سكر 2+1/2 ppr </t>
  </si>
  <si>
    <t>L211</t>
  </si>
  <si>
    <t>L207</t>
  </si>
  <si>
    <t xml:space="preserve">مربط طبش 4 انش </t>
  </si>
  <si>
    <t>مربط طبش  3 انش</t>
  </si>
  <si>
    <t xml:space="preserve">مربط طبش 3/4 انش </t>
  </si>
  <si>
    <t>L210</t>
  </si>
  <si>
    <t>وصلة شك بولاد 40 سم</t>
  </si>
  <si>
    <t>دسك قص + حف الماس</t>
  </si>
  <si>
    <t>دسك قص + حف 4.50</t>
  </si>
  <si>
    <t>L2</t>
  </si>
  <si>
    <t>ورق حف صيني</t>
  </si>
  <si>
    <t>شمسة حنفية مسح</t>
  </si>
  <si>
    <t>كرت دوش غروهي</t>
  </si>
  <si>
    <t>شطاف كامل غروهي</t>
  </si>
  <si>
    <t xml:space="preserve">برادي سادة </t>
  </si>
  <si>
    <t xml:space="preserve">بوري طويل </t>
  </si>
  <si>
    <t>حماله كروم ثنائية</t>
  </si>
  <si>
    <t>حماله عادية ثلاثية</t>
  </si>
  <si>
    <t xml:space="preserve">حماله كروم ثلاثي </t>
  </si>
  <si>
    <t>L214</t>
  </si>
  <si>
    <t>سكر 1/2ب1/2 زمك</t>
  </si>
  <si>
    <t>L215</t>
  </si>
  <si>
    <t>L216</t>
  </si>
  <si>
    <t>L217</t>
  </si>
  <si>
    <t>L218</t>
  </si>
  <si>
    <t xml:space="preserve">مجلى 60 برونز </t>
  </si>
  <si>
    <t>L219</t>
  </si>
  <si>
    <t xml:space="preserve">مجلى 70  دهبي </t>
  </si>
  <si>
    <t>مجلى 70 صسني اسود</t>
  </si>
  <si>
    <t>L220</t>
  </si>
  <si>
    <t>طاسة دوش مدورة 15س</t>
  </si>
  <si>
    <t xml:space="preserve">كرسي سنفور </t>
  </si>
  <si>
    <t>كرسي بولو</t>
  </si>
  <si>
    <t>مصفاية بلاطة f f زرقة 15 c كروم</t>
  </si>
  <si>
    <t>مصفاية بلاطة f f زرقة 15 c دهبي</t>
  </si>
  <si>
    <t>L221</t>
  </si>
  <si>
    <t>محلى 60 كروم</t>
  </si>
  <si>
    <t xml:space="preserve">طاسة دوش مدورة 15c </t>
  </si>
  <si>
    <t xml:space="preserve">سكر اعمى 1/2ب1/2 زمك </t>
  </si>
  <si>
    <t>بربيش تواليت دبل سلفر</t>
  </si>
  <si>
    <t xml:space="preserve">مجلى بيانو </t>
  </si>
  <si>
    <t>تيفلون سايروس 30 م 2</t>
  </si>
  <si>
    <t>الصادر</t>
  </si>
  <si>
    <t>المتبقي مخزون</t>
  </si>
  <si>
    <t xml:space="preserve">سدة 1/2 انش </t>
  </si>
  <si>
    <t>كوع ذكر 1/2 انش</t>
  </si>
  <si>
    <t>كوع انثى 1/2 انش</t>
  </si>
  <si>
    <t>L226</t>
  </si>
  <si>
    <t>L225</t>
  </si>
  <si>
    <t>خلاط حمام مع دوش SR SFZ320c</t>
  </si>
  <si>
    <t>وصلة بولاد 50 سم عادي</t>
  </si>
  <si>
    <t>وصلة بولاد 60 سم عادي</t>
  </si>
  <si>
    <t>وصلة بولاد 100 سم عادي</t>
  </si>
  <si>
    <t>مصفاية 15*15 مديل امريكي</t>
  </si>
  <si>
    <t>سدة 1/2 انش</t>
  </si>
  <si>
    <t>صباب مجلى ستانلس 11</t>
  </si>
  <si>
    <t>سدة 1 انش</t>
  </si>
  <si>
    <t xml:space="preserve">سدة 3/4 </t>
  </si>
  <si>
    <t>حنفية بوغاتي خفيف</t>
  </si>
  <si>
    <t>حنفية بوغاتي تقيل</t>
  </si>
  <si>
    <t>كباسة فيتكس</t>
  </si>
  <si>
    <t xml:space="preserve">كباسة شطاف خفيف </t>
  </si>
  <si>
    <t>فواشة قطعه واحده</t>
  </si>
  <si>
    <t>طاسة فلين</t>
  </si>
  <si>
    <t>ريغار 20*20</t>
  </si>
  <si>
    <t>ريغار 15*15صيني</t>
  </si>
  <si>
    <t>طاسة دوش مربعه 20س</t>
  </si>
  <si>
    <t>سيخ سخان موديل ايطالي 30سم</t>
  </si>
  <si>
    <t xml:space="preserve">شراقة مصري </t>
  </si>
  <si>
    <t xml:space="preserve">برجور تنفس مصري </t>
  </si>
  <si>
    <t>صباب مغسلة بلاستيك</t>
  </si>
  <si>
    <t>سن ب عزقة 3/4 كروم</t>
  </si>
  <si>
    <t xml:space="preserve">تيفلون صغير </t>
  </si>
  <si>
    <t>تيفلون صغير</t>
  </si>
  <si>
    <t>كرت شطاف خفيف ازرق اصفر</t>
  </si>
  <si>
    <t>بربيش تواليت دبل كيان</t>
  </si>
  <si>
    <t xml:space="preserve">عدة كرسي اسباني </t>
  </si>
  <si>
    <t>مصفاية بلاطة 15*15 زرقة</t>
  </si>
  <si>
    <t>مصفاية بلاطة 15*15 خضرا</t>
  </si>
  <si>
    <t xml:space="preserve">هراب مع صباب 11سم </t>
  </si>
  <si>
    <t xml:space="preserve">  </t>
  </si>
  <si>
    <t>طقم خلاط 304 كروم</t>
  </si>
  <si>
    <t>طقم خلاطات سايروس اسود</t>
  </si>
  <si>
    <t xml:space="preserve">طقم خلاطات سايروس كروم </t>
  </si>
  <si>
    <t xml:space="preserve">مجلى بيانو 7حراكات </t>
  </si>
  <si>
    <t>سكر دحلة1/2 mSg</t>
  </si>
  <si>
    <t>سكر دحلة3/4 mSg</t>
  </si>
  <si>
    <t>سكر دحلة1 انش mSg</t>
  </si>
  <si>
    <t xml:space="preserve">ملاحظة </t>
  </si>
  <si>
    <t xml:space="preserve">مرتجع 5 خلاطات اخمد العلبي </t>
  </si>
  <si>
    <t xml:space="preserve">بربيش حمام كروم </t>
  </si>
  <si>
    <t xml:space="preserve">بياض سكر مع شمسة </t>
  </si>
  <si>
    <t>فواشة 1/2 صيني نحاس قطعه واحده</t>
  </si>
  <si>
    <t xml:space="preserve">تطويلة سكر بشمسة </t>
  </si>
  <si>
    <t xml:space="preserve">طبة خلاط كوستا </t>
  </si>
  <si>
    <t>براغي تثبيت مغسلة</t>
  </si>
  <si>
    <t xml:space="preserve">عدة صندوق اسباني بطة خضرا </t>
  </si>
  <si>
    <t xml:space="preserve">شراقة نحاس 3/4 صيني </t>
  </si>
  <si>
    <t>جوان حشر 4/1</t>
  </si>
  <si>
    <t>جوان حشر 2/1</t>
  </si>
  <si>
    <t>راكور خزان 2/1</t>
  </si>
  <si>
    <t xml:space="preserve">قلب خلاط فوتيس </t>
  </si>
  <si>
    <t xml:space="preserve">سكر دحلة 1 إيطالي </t>
  </si>
  <si>
    <t>راكور خزان 1</t>
  </si>
  <si>
    <t xml:space="preserve">عزقة خلاط شك 3/4 نحاس </t>
  </si>
  <si>
    <t xml:space="preserve">سكر دحلة 3/4 نحاس </t>
  </si>
  <si>
    <t xml:space="preserve">صباب مجلى زمك </t>
  </si>
  <si>
    <t xml:space="preserve">براغي تثبيت كرسي </t>
  </si>
  <si>
    <t xml:space="preserve">براغي تثبيت سخان </t>
  </si>
  <si>
    <t xml:space="preserve">عزقة خلاط شك 1 نحاس </t>
  </si>
  <si>
    <t xml:space="preserve">حنفية دحلة موديل بوغاتي </t>
  </si>
  <si>
    <t xml:space="preserve">سكر دحلة 1 نحاس صيني </t>
  </si>
  <si>
    <t xml:space="preserve">شراقة نحاس صيني </t>
  </si>
  <si>
    <t xml:space="preserve">تحويلة كرسي 7 سم </t>
  </si>
  <si>
    <t xml:space="preserve">طابة فواشة ستربول </t>
  </si>
  <si>
    <t>عدة صندوق اسباني بطة زرقا</t>
  </si>
  <si>
    <t>حنفية دحلة بلاستيك  ppr</t>
  </si>
  <si>
    <t xml:space="preserve">طبة خلاط فوتيس </t>
  </si>
  <si>
    <t xml:space="preserve">تية 1/2 كروم </t>
  </si>
  <si>
    <t xml:space="preserve">شراقة نحاس 1/2 صيني </t>
  </si>
  <si>
    <t xml:space="preserve">جوان مبروم </t>
  </si>
  <si>
    <t xml:space="preserve">طبة خلاط موديل </t>
  </si>
  <si>
    <t xml:space="preserve">وصلة اوكرديون مع نقاصة </t>
  </si>
  <si>
    <t xml:space="preserve">عزقة خلاط شك 1/2 نحاس </t>
  </si>
  <si>
    <t xml:space="preserve">سكر دحلة 1/2 إيطالي </t>
  </si>
  <si>
    <t>بياض سكر بشمسة 3/4</t>
  </si>
  <si>
    <t xml:space="preserve">صباب مجلى نحاس </t>
  </si>
  <si>
    <t xml:space="preserve">سكر دحلة 3/4 إيطالي </t>
  </si>
  <si>
    <t xml:space="preserve">سكر غساله إيطالي </t>
  </si>
  <si>
    <t xml:space="preserve">سكر دحلة 1/2 نحاس صيني </t>
  </si>
  <si>
    <t xml:space="preserve">تية 25 ppr اول نظامي </t>
  </si>
  <si>
    <t xml:space="preserve">سنة بعزقة 1/2 مزيبق حديد صيني </t>
  </si>
  <si>
    <t xml:space="preserve">سكر دحلة 3/4 نحاس صيني </t>
  </si>
  <si>
    <t xml:space="preserve">كوع 25مم ppr اول نظامي </t>
  </si>
  <si>
    <t xml:space="preserve">كوع بسن 1/2 *25 ppr انثى اول نظاني </t>
  </si>
  <si>
    <t xml:space="preserve">تية 1/2 مزيبق حديد صيني </t>
  </si>
  <si>
    <t xml:space="preserve">كوع ذكر 1/2 حديد صيني مزيبق </t>
  </si>
  <si>
    <t>بوري 25 مم 20بار pprاول نظامي</t>
  </si>
  <si>
    <t xml:space="preserve">سدة طبة 25مم ppr اول نظامي </t>
  </si>
  <si>
    <t xml:space="preserve">سنه بعزقة 3/4 مزيبق حديد صيني </t>
  </si>
  <si>
    <t xml:space="preserve">كرت شطاف خفيف ازرق اصفر </t>
  </si>
  <si>
    <t xml:space="preserve">كباسة شطاف فرداوية بيضا </t>
  </si>
  <si>
    <t xml:space="preserve">كباسة فرداوية بيضاء مع كروم </t>
  </si>
  <si>
    <t xml:space="preserve">سحابة دوش صيني موديل اسباني </t>
  </si>
  <si>
    <t>سكر سايروس طبة عمياء 500</t>
  </si>
  <si>
    <t>بربيش حمام كروم ياسمين</t>
  </si>
  <si>
    <t>مرتجع 2 بيانو</t>
  </si>
  <si>
    <t>مرتجع معرض</t>
  </si>
  <si>
    <t>مرتجع الى المعرض</t>
  </si>
  <si>
    <t xml:space="preserve">مرتجع معرض  </t>
  </si>
  <si>
    <t>طابة فلين</t>
  </si>
  <si>
    <t>سكر دحلة1/2 msg</t>
  </si>
  <si>
    <t>سكر دحلة3/4 msg</t>
  </si>
  <si>
    <t>سكر دحلة1 انش msg</t>
  </si>
  <si>
    <t xml:space="preserve">نقص 1 مباع 1 معرض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</si>
</sst>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&quot;ر.س.‏&quot;\ * #,##0_-;_-&quot;ر.س.‏&quot;\ * #,##0\-;_-&quot;ر.س.‏&quot;\ * &quot;-&quot;_-;_-@_-"/>
    <numFmt numFmtId="165" formatCode="_-&quot;ر.س.‏&quot;\ * #,##0.00_-;_-&quot;ر.س.‏&quot;\ * #,##0.00\-;_-&quot;ر.س.‏&quot;\ * &quot;-&quot;??_-;_-@_-"/>
    <numFmt numFmtId="166" formatCode="_(* #,##0_);_(* \(#,##0\);_(* &quot;-&quot;_);_(@_)"/>
    <numFmt numFmtId="167" formatCode="_(* #,##0.00_);_(* \(#,##0.00\);_(* &quot;-&quot;??_);_(@_)"/>
    <numFmt numFmtId="168" formatCode="_-[$$-540A]* #,##0.00_ ;_-[$$-540A]* \-#,##0.00\ ;_-[$$-540A]* &quot;-&quot;??_ ;_-@_ "/>
    <numFmt numFmtId="169" formatCode="yyyy\-mm\-dd;@"/>
  </numFmts>
  <fonts count="44" x14ac:knownFonts="1">
    <font>
      <sz val="11"/>
      <color theme="1"/>
      <name val="Tahoma"/>
      <family val="2"/>
    </font>
    <font>
      <sz val="11"/>
      <color theme="1"/>
      <name val="Tahoma"/>
      <family val="2"/>
    </font>
    <font>
      <sz val="11"/>
      <color rgb="FF006100"/>
      <name val="Tahoma"/>
      <family val="2"/>
    </font>
    <font>
      <sz val="11"/>
      <color rgb="FF9C0006"/>
      <name val="Tahoma"/>
      <family val="2"/>
    </font>
    <font>
      <b/>
      <sz val="11"/>
      <color theme="0"/>
      <name val="Tahoma"/>
      <family val="2"/>
    </font>
    <font>
      <sz val="18"/>
      <color theme="3"/>
      <name val="Tahoma"/>
      <family val="2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b/>
      <sz val="11"/>
      <color theme="1"/>
      <name val="Tahoma"/>
      <family val="2"/>
    </font>
    <font>
      <sz val="11"/>
      <color theme="0"/>
      <name val="Tahoma"/>
      <family val="2"/>
    </font>
    <font>
      <i/>
      <sz val="11"/>
      <color rgb="FF7F7F7F"/>
      <name val="Tahoma"/>
      <family val="2"/>
    </font>
    <font>
      <sz val="11"/>
      <color rgb="FFFF0000"/>
      <name val="Tahoma"/>
      <family val="2"/>
    </font>
    <font>
      <b/>
      <sz val="11"/>
      <color rgb="FFFA7D00"/>
      <name val="Tahoma"/>
      <family val="2"/>
    </font>
    <font>
      <sz val="11"/>
      <color rgb="FF3F3F76"/>
      <name val="Tahoma"/>
      <family val="2"/>
    </font>
    <font>
      <b/>
      <sz val="11"/>
      <color rgb="FF3F3F3F"/>
      <name val="Tahoma"/>
      <family val="2"/>
    </font>
    <font>
      <sz val="11"/>
      <color rgb="FF9C5700"/>
      <name val="Tahoma"/>
      <family val="2"/>
    </font>
    <font>
      <sz val="11"/>
      <color rgb="FFFA7D00"/>
      <name val="Tahoma"/>
      <family val="2"/>
    </font>
    <font>
      <sz val="10"/>
      <color theme="1"/>
      <name val="Tahoma"/>
      <family val="2"/>
    </font>
    <font>
      <b/>
      <sz val="11"/>
      <color theme="1"/>
      <name val="Arial"/>
      <family val="2"/>
    </font>
    <font>
      <sz val="8"/>
      <name val="Tahoma"/>
      <family val="2"/>
    </font>
    <font>
      <b/>
      <sz val="14"/>
      <color theme="1"/>
      <name val="Arial"/>
      <family val="2"/>
    </font>
    <font>
      <b/>
      <sz val="11"/>
      <color theme="1"/>
      <name val="Tahoma"/>
      <family val="2"/>
      <charset val="178"/>
    </font>
    <font>
      <b/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charset val="178"/>
    </font>
    <font>
      <b/>
      <sz val="16"/>
      <color rgb="FF8EA9DB"/>
      <name val="Arial"/>
      <family val="2"/>
    </font>
    <font>
      <b/>
      <sz val="16"/>
      <color theme="3" tint="0.39997558519241921"/>
      <name val="Arial"/>
      <family val="2"/>
    </font>
    <font>
      <b/>
      <sz val="16"/>
      <color theme="3" tint="0.59999389629810485"/>
      <name val="Arial"/>
      <family val="2"/>
    </font>
    <font>
      <sz val="9"/>
      <color theme="1"/>
      <name val="Tahoma"/>
      <family val="2"/>
    </font>
    <font>
      <b/>
      <sz val="9"/>
      <color theme="1"/>
      <name val="Arial"/>
      <family val="2"/>
      <charset val="178"/>
      <scheme val="minor"/>
    </font>
    <font>
      <b/>
      <sz val="9"/>
      <color theme="1"/>
      <name val="Tahoma"/>
      <family val="2"/>
      <charset val="178"/>
    </font>
    <font>
      <b/>
      <sz val="20"/>
      <color theme="3" tint="0.59999389629810485"/>
      <name val="Arial"/>
      <family val="2"/>
    </font>
    <font>
      <b/>
      <sz val="12"/>
      <color theme="1"/>
      <name val="Arial"/>
      <family val="2"/>
      <charset val="178"/>
    </font>
    <font>
      <b/>
      <sz val="12"/>
      <color theme="1"/>
      <name val="Arial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  <charset val="178"/>
    </font>
    <font>
      <b/>
      <sz val="18"/>
      <color theme="3" tint="0.39997558519241921"/>
      <name val="Arial"/>
      <family val="2"/>
    </font>
    <font>
      <b/>
      <sz val="14"/>
      <color theme="1"/>
      <name val="Arial"/>
      <family val="2"/>
      <charset val="178"/>
    </font>
    <font>
      <b/>
      <sz val="14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b/>
      <sz val="14"/>
      <color theme="1"/>
      <name val="Tahoma"/>
      <family val="2"/>
      <charset val="178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theme="6" tint="0.59996337778862885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n">
        <color theme="6" tint="0.59996337778862885"/>
      </top>
      <bottom/>
      <diagonal/>
    </border>
    <border>
      <left style="thick">
        <color theme="3" tint="-0.249977111117893"/>
      </left>
      <right/>
      <top style="thick">
        <color theme="3" tint="-0.249977111117893"/>
      </top>
      <bottom/>
      <diagonal/>
    </border>
    <border>
      <left style="thick">
        <color theme="3" tint="-0.249977111117893"/>
      </left>
      <right/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theme="3" tint="-0.249977111117893"/>
      </left>
      <right style="thick">
        <color theme="3" tint="-0.249977111117893"/>
      </right>
      <top/>
      <bottom style="thick">
        <color theme="3" tint="-0.249977111117893"/>
      </bottom>
      <diagonal/>
    </border>
    <border>
      <left style="thick">
        <color theme="3" tint="-0.249977111117893"/>
      </left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/>
      <right/>
      <top style="thick">
        <color theme="3" tint="-0.249977111117893"/>
      </top>
      <bottom/>
      <diagonal/>
    </border>
    <border>
      <left/>
      <right/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rgb="FF000000"/>
      </left>
      <right style="medium">
        <color rgb="FF000000"/>
      </right>
      <top style="medium">
        <color rgb="FF1F497D"/>
      </top>
      <bottom style="medium">
        <color rgb="FF00000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indexed="64"/>
      </left>
      <right/>
      <top style="thin">
        <color theme="6" tint="0.59996337778862885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47">
    <xf numFmtId="0" fontId="0" fillId="0" borderId="0">
      <alignment readingOrder="2"/>
    </xf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6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3" fillId="6" borderId="4" applyNumberFormat="0" applyAlignment="0" applyProtection="0"/>
    <xf numFmtId="0" fontId="17" fillId="0" borderId="6" applyNumberFormat="0" applyFill="0" applyAlignment="0" applyProtection="0"/>
    <xf numFmtId="0" fontId="4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1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1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8">
    <xf numFmtId="0" fontId="0" fillId="0" borderId="0" xfId="0">
      <alignment readingOrder="2"/>
    </xf>
    <xf numFmtId="0" fontId="18" fillId="0" borderId="0" xfId="0" applyFont="1" applyAlignment="1">
      <alignment horizontal="right" readingOrder="2"/>
    </xf>
    <xf numFmtId="0" fontId="18" fillId="0" borderId="0" xfId="0" applyFont="1" applyAlignment="1">
      <alignment horizontal="center" vertical="center" readingOrder="2"/>
    </xf>
    <xf numFmtId="0" fontId="18" fillId="0" borderId="0" xfId="0" applyFont="1" applyAlignment="1">
      <alignment horizontal="left" vertical="center" readingOrder="2"/>
    </xf>
    <xf numFmtId="0" fontId="18" fillId="0" borderId="0" xfId="0" applyFont="1">
      <alignment readingOrder="2"/>
    </xf>
    <xf numFmtId="0" fontId="18" fillId="0" borderId="0" xfId="0" applyFont="1" applyAlignment="1">
      <alignment vertical="center" readingOrder="2"/>
    </xf>
    <xf numFmtId="169" fontId="18" fillId="0" borderId="0" xfId="0" applyNumberFormat="1" applyFont="1" applyAlignment="1">
      <alignment horizontal="right" readingOrder="2"/>
    </xf>
    <xf numFmtId="169" fontId="18" fillId="0" borderId="0" xfId="0" applyNumberFormat="1" applyFont="1" applyAlignment="1">
      <alignment horizontal="left" vertical="center" readingOrder="2"/>
    </xf>
    <xf numFmtId="0" fontId="18" fillId="0" borderId="0" xfId="0" applyFont="1" applyAlignment="1">
      <alignment horizontal="right" vertical="center" readingOrder="2"/>
    </xf>
    <xf numFmtId="0" fontId="18" fillId="33" borderId="0" xfId="0" applyFont="1" applyFill="1" applyAlignment="1">
      <alignment horizontal="center" vertical="center" readingOrder="2"/>
    </xf>
    <xf numFmtId="0" fontId="18" fillId="33" borderId="0" xfId="0" applyFont="1" applyFill="1" applyAlignment="1">
      <alignment horizontal="right" vertical="center" readingOrder="2"/>
    </xf>
    <xf numFmtId="0" fontId="0" fillId="0" borderId="13" xfId="0" applyBorder="1" applyAlignment="1"/>
    <xf numFmtId="0" fontId="0" fillId="0" borderId="0" xfId="0" applyAlignment="1"/>
    <xf numFmtId="169" fontId="18" fillId="33" borderId="14" xfId="0" applyNumberFormat="1" applyFont="1" applyFill="1" applyBorder="1" applyAlignment="1">
      <alignment horizontal="right" vertical="center" readingOrder="2"/>
    </xf>
    <xf numFmtId="0" fontId="18" fillId="33" borderId="15" xfId="0" applyFont="1" applyFill="1" applyBorder="1" applyAlignment="1">
      <alignment vertical="center" readingOrder="2"/>
    </xf>
    <xf numFmtId="0" fontId="0" fillId="33" borderId="15" xfId="0" applyFill="1" applyBorder="1" applyAlignment="1"/>
    <xf numFmtId="0" fontId="21" fillId="0" borderId="0" xfId="0" applyFont="1" applyAlignment="1"/>
    <xf numFmtId="0" fontId="21" fillId="33" borderId="15" xfId="0" applyFont="1" applyFill="1" applyBorder="1" applyAlignment="1"/>
    <xf numFmtId="0" fontId="21" fillId="0" borderId="13" xfId="0" applyFont="1" applyBorder="1" applyAlignment="1"/>
    <xf numFmtId="0" fontId="25" fillId="33" borderId="11" xfId="0" applyFont="1" applyFill="1" applyBorder="1" applyAlignment="1">
      <alignment horizontal="center" wrapText="1" readingOrder="2"/>
    </xf>
    <xf numFmtId="0" fontId="25" fillId="33" borderId="11" xfId="0" applyFont="1" applyFill="1" applyBorder="1" applyAlignment="1">
      <alignment wrapText="1" readingOrder="2"/>
    </xf>
    <xf numFmtId="0" fontId="26" fillId="33" borderId="11" xfId="0" applyFont="1" applyFill="1" applyBorder="1" applyAlignment="1"/>
    <xf numFmtId="0" fontId="24" fillId="34" borderId="10" xfId="0" applyFont="1" applyFill="1" applyBorder="1" applyAlignment="1">
      <alignment vertical="center" readingOrder="2"/>
    </xf>
    <xf numFmtId="14" fontId="23" fillId="34" borderId="10" xfId="0" applyNumberFormat="1" applyFont="1" applyFill="1" applyBorder="1" applyAlignment="1"/>
    <xf numFmtId="0" fontId="23" fillId="34" borderId="10" xfId="0" applyFont="1" applyFill="1" applyBorder="1" applyAlignment="1"/>
    <xf numFmtId="168" fontId="23" fillId="34" borderId="10" xfId="0" applyNumberFormat="1" applyFont="1" applyFill="1" applyBorder="1" applyAlignment="1"/>
    <xf numFmtId="168" fontId="19" fillId="34" borderId="10" xfId="0" applyNumberFormat="1" applyFont="1" applyFill="1" applyBorder="1" applyAlignment="1"/>
    <xf numFmtId="0" fontId="22" fillId="34" borderId="10" xfId="0" applyFont="1" applyFill="1" applyBorder="1" applyAlignment="1">
      <alignment vertical="center" readingOrder="2"/>
    </xf>
    <xf numFmtId="168" fontId="24" fillId="34" borderId="10" xfId="0" applyNumberFormat="1" applyFont="1" applyFill="1" applyBorder="1" applyAlignment="1"/>
    <xf numFmtId="0" fontId="23" fillId="35" borderId="10" xfId="0" applyFont="1" applyFill="1" applyBorder="1" applyAlignment="1"/>
    <xf numFmtId="168" fontId="24" fillId="35" borderId="10" xfId="0" applyNumberFormat="1" applyFont="1" applyFill="1" applyBorder="1" applyAlignment="1"/>
    <xf numFmtId="169" fontId="22" fillId="34" borderId="10" xfId="0" applyNumberFormat="1" applyFont="1" applyFill="1" applyBorder="1" applyAlignment="1">
      <alignment vertical="center" readingOrder="2"/>
    </xf>
    <xf numFmtId="0" fontId="22" fillId="34" borderId="10" xfId="0" applyFont="1" applyFill="1" applyBorder="1" applyAlignment="1"/>
    <xf numFmtId="0" fontId="26" fillId="33" borderId="16" xfId="0" applyFont="1" applyFill="1" applyBorder="1" applyAlignment="1"/>
    <xf numFmtId="0" fontId="28" fillId="0" borderId="0" xfId="0" applyFont="1" applyAlignment="1"/>
    <xf numFmtId="0" fontId="28" fillId="33" borderId="15" xfId="0" applyFont="1" applyFill="1" applyBorder="1" applyAlignment="1"/>
    <xf numFmtId="0" fontId="29" fillId="34" borderId="12" xfId="0" applyFont="1" applyFill="1" applyBorder="1" applyAlignment="1"/>
    <xf numFmtId="0" fontId="29" fillId="34" borderId="10" xfId="0" applyFont="1" applyFill="1" applyBorder="1" applyAlignment="1"/>
    <xf numFmtId="0" fontId="30" fillId="34" borderId="10" xfId="0" applyFont="1" applyFill="1" applyBorder="1" applyAlignment="1"/>
    <xf numFmtId="0" fontId="30" fillId="34" borderId="17" xfId="0" applyFont="1" applyFill="1" applyBorder="1" applyAlignment="1"/>
    <xf numFmtId="0" fontId="30" fillId="0" borderId="10" xfId="0" applyFont="1" applyBorder="1" applyAlignment="1"/>
    <xf numFmtId="0" fontId="28" fillId="0" borderId="13" xfId="0" applyFont="1" applyBorder="1" applyAlignment="1"/>
    <xf numFmtId="0" fontId="23" fillId="34" borderId="19" xfId="0" applyFont="1" applyFill="1" applyBorder="1" applyAlignment="1">
      <alignment wrapText="1" readingOrder="2"/>
    </xf>
    <xf numFmtId="0" fontId="24" fillId="34" borderId="19" xfId="0" applyFont="1" applyFill="1" applyBorder="1" applyAlignment="1"/>
    <xf numFmtId="0" fontId="24" fillId="34" borderId="19" xfId="0" applyFont="1" applyFill="1" applyBorder="1" applyAlignment="1">
      <alignment wrapText="1" readingOrder="2"/>
    </xf>
    <xf numFmtId="2" fontId="18" fillId="0" borderId="10" xfId="0" applyNumberFormat="1" applyFont="1" applyBorder="1" applyAlignment="1">
      <alignment vertical="center" readingOrder="2"/>
    </xf>
    <xf numFmtId="0" fontId="32" fillId="34" borderId="18" xfId="0" applyFont="1" applyFill="1" applyBorder="1" applyAlignment="1"/>
    <xf numFmtId="2" fontId="18" fillId="33" borderId="17" xfId="0" applyNumberFormat="1" applyFont="1" applyFill="1" applyBorder="1" applyAlignment="1">
      <alignment vertical="center" readingOrder="2"/>
    </xf>
    <xf numFmtId="0" fontId="32" fillId="34" borderId="12" xfId="0" applyFont="1" applyFill="1" applyBorder="1" applyAlignment="1"/>
    <xf numFmtId="2" fontId="31" fillId="33" borderId="16" xfId="0" applyNumberFormat="1" applyFont="1" applyFill="1" applyBorder="1" applyAlignment="1">
      <alignment horizontal="center" readingOrder="2"/>
    </xf>
    <xf numFmtId="0" fontId="32" fillId="34" borderId="21" xfId="0" applyFont="1" applyFill="1" applyBorder="1" applyAlignment="1"/>
    <xf numFmtId="0" fontId="23" fillId="34" borderId="10" xfId="0" applyFont="1" applyFill="1" applyBorder="1" applyAlignment="1">
      <alignment wrapText="1" readingOrder="2"/>
    </xf>
    <xf numFmtId="0" fontId="33" fillId="36" borderId="10" xfId="0" applyFont="1" applyFill="1" applyBorder="1" applyAlignment="1">
      <alignment horizontal="right"/>
    </xf>
    <xf numFmtId="0" fontId="33" fillId="36" borderId="10" xfId="0" applyFont="1" applyFill="1" applyBorder="1" applyAlignment="1">
      <alignment horizontal="right" wrapText="1" readingOrder="2"/>
    </xf>
    <xf numFmtId="0" fontId="32" fillId="36" borderId="22" xfId="0" applyFont="1" applyFill="1" applyBorder="1" applyAlignment="1">
      <alignment vertical="center" readingOrder="2"/>
    </xf>
    <xf numFmtId="0" fontId="32" fillId="36" borderId="23" xfId="0" applyFont="1" applyFill="1" applyBorder="1" applyAlignment="1">
      <alignment vertical="center" readingOrder="2"/>
    </xf>
    <xf numFmtId="0" fontId="27" fillId="33" borderId="16" xfId="0" applyFont="1" applyFill="1" applyBorder="1" applyAlignment="1">
      <alignment horizontal="center" wrapText="1" readingOrder="2"/>
    </xf>
    <xf numFmtId="14" fontId="21" fillId="36" borderId="12" xfId="0" applyNumberFormat="1" applyFont="1" applyFill="1" applyBorder="1" applyAlignment="1">
      <alignment horizontal="right"/>
    </xf>
    <xf numFmtId="0" fontId="21" fillId="36" borderId="10" xfId="0" applyFont="1" applyFill="1" applyBorder="1" applyAlignment="1">
      <alignment horizontal="right"/>
    </xf>
    <xf numFmtId="14" fontId="21" fillId="36" borderId="10" xfId="0" applyNumberFormat="1" applyFont="1" applyFill="1" applyBorder="1" applyAlignment="1">
      <alignment horizontal="right"/>
    </xf>
    <xf numFmtId="0" fontId="21" fillId="37" borderId="10" xfId="0" applyFont="1" applyFill="1" applyBorder="1" applyAlignment="1">
      <alignment horizontal="right"/>
    </xf>
    <xf numFmtId="168" fontId="21" fillId="37" borderId="10" xfId="0" applyNumberFormat="1" applyFont="1" applyFill="1" applyBorder="1" applyAlignment="1">
      <alignment horizontal="right"/>
    </xf>
    <xf numFmtId="168" fontId="21" fillId="36" borderId="10" xfId="0" applyNumberFormat="1" applyFont="1" applyFill="1" applyBorder="1" applyAlignment="1">
      <alignment horizontal="right"/>
    </xf>
    <xf numFmtId="0" fontId="21" fillId="36" borderId="10" xfId="0" applyFont="1" applyFill="1" applyBorder="1" applyAlignment="1">
      <alignment horizontal="right" wrapText="1" readingOrder="2"/>
    </xf>
    <xf numFmtId="14" fontId="21" fillId="36" borderId="10" xfId="0" applyNumberFormat="1" applyFont="1" applyFill="1" applyBorder="1" applyAlignment="1"/>
    <xf numFmtId="14" fontId="21" fillId="37" borderId="10" xfId="0" applyNumberFormat="1" applyFont="1" applyFill="1" applyBorder="1" applyAlignment="1"/>
    <xf numFmtId="0" fontId="21" fillId="36" borderId="24" xfId="0" applyFont="1" applyFill="1" applyBorder="1" applyAlignment="1">
      <alignment horizontal="right"/>
    </xf>
    <xf numFmtId="0" fontId="21" fillId="36" borderId="25" xfId="0" applyFont="1" applyFill="1" applyBorder="1" applyAlignment="1">
      <alignment horizontal="right"/>
    </xf>
    <xf numFmtId="0" fontId="25" fillId="33" borderId="16" xfId="0" applyFont="1" applyFill="1" applyBorder="1" applyAlignment="1">
      <alignment horizontal="center" wrapText="1" readingOrder="2"/>
    </xf>
    <xf numFmtId="169" fontId="25" fillId="33" borderId="16" xfId="0" applyNumberFormat="1" applyFont="1" applyFill="1" applyBorder="1" applyAlignment="1">
      <alignment horizontal="center" wrapText="1" readingOrder="2"/>
    </xf>
    <xf numFmtId="0" fontId="25" fillId="33" borderId="16" xfId="0" applyFont="1" applyFill="1" applyBorder="1" applyAlignment="1">
      <alignment wrapText="1" readingOrder="2"/>
    </xf>
    <xf numFmtId="0" fontId="26" fillId="33" borderId="26" xfId="0" applyFont="1" applyFill="1" applyBorder="1" applyAlignment="1"/>
    <xf numFmtId="168" fontId="23" fillId="35" borderId="10" xfId="0" applyNumberFormat="1" applyFont="1" applyFill="1" applyBorder="1" applyAlignment="1"/>
    <xf numFmtId="168" fontId="22" fillId="34" borderId="10" xfId="0" applyNumberFormat="1" applyFont="1" applyFill="1" applyBorder="1" applyAlignment="1"/>
    <xf numFmtId="0" fontId="21" fillId="36" borderId="27" xfId="0" applyFont="1" applyFill="1" applyBorder="1" applyAlignment="1">
      <alignment horizontal="right" wrapText="1" readingOrder="2"/>
    </xf>
    <xf numFmtId="0" fontId="21" fillId="37" borderId="28" xfId="0" applyFont="1" applyFill="1" applyBorder="1" applyAlignment="1">
      <alignment horizontal="right" vertical="center" indent="1" readingOrder="2"/>
    </xf>
    <xf numFmtId="14" fontId="21" fillId="37" borderId="12" xfId="0" applyNumberFormat="1" applyFont="1" applyFill="1" applyBorder="1" applyAlignment="1"/>
    <xf numFmtId="0" fontId="21" fillId="37" borderId="12" xfId="0" applyFont="1" applyFill="1" applyBorder="1" applyAlignment="1"/>
    <xf numFmtId="168" fontId="21" fillId="36" borderId="12" xfId="0" applyNumberFormat="1" applyFont="1" applyFill="1" applyBorder="1" applyAlignment="1"/>
    <xf numFmtId="0" fontId="21" fillId="36" borderId="25" xfId="0" applyFont="1" applyFill="1" applyBorder="1" applyAlignment="1">
      <alignment horizontal="right" wrapText="1" readingOrder="2"/>
    </xf>
    <xf numFmtId="0" fontId="21" fillId="37" borderId="29" xfId="0" applyFont="1" applyFill="1" applyBorder="1" applyAlignment="1">
      <alignment horizontal="right" vertical="center" indent="1" readingOrder="2"/>
    </xf>
    <xf numFmtId="0" fontId="21" fillId="37" borderId="10" xfId="0" applyFont="1" applyFill="1" applyBorder="1" applyAlignment="1"/>
    <xf numFmtId="168" fontId="21" fillId="36" borderId="10" xfId="0" applyNumberFormat="1" applyFont="1" applyFill="1" applyBorder="1" applyAlignment="1"/>
    <xf numFmtId="0" fontId="21" fillId="36" borderId="29" xfId="0" applyFont="1" applyFill="1" applyBorder="1" applyAlignment="1">
      <alignment horizontal="right" vertical="center" indent="1" readingOrder="2"/>
    </xf>
    <xf numFmtId="0" fontId="21" fillId="36" borderId="10" xfId="0" applyFont="1" applyFill="1" applyBorder="1" applyAlignment="1"/>
    <xf numFmtId="168" fontId="21" fillId="36" borderId="13" xfId="0" applyNumberFormat="1" applyFont="1" applyFill="1" applyBorder="1" applyAlignment="1"/>
    <xf numFmtId="168" fontId="21" fillId="36" borderId="13" xfId="0" applyNumberFormat="1" applyFont="1" applyFill="1" applyBorder="1" applyAlignment="1">
      <alignment horizontal="right"/>
    </xf>
    <xf numFmtId="0" fontId="21" fillId="36" borderId="24" xfId="0" applyFont="1" applyFill="1" applyBorder="1" applyAlignment="1">
      <alignment horizontal="right" wrapText="1" readingOrder="2"/>
    </xf>
    <xf numFmtId="0" fontId="21" fillId="36" borderId="25" xfId="0" applyFont="1" applyFill="1" applyBorder="1" applyAlignment="1">
      <alignment wrapText="1" readingOrder="2"/>
    </xf>
    <xf numFmtId="0" fontId="34" fillId="0" borderId="0" xfId="0" applyFont="1" applyAlignment="1"/>
    <xf numFmtId="0" fontId="34" fillId="33" borderId="15" xfId="0" applyFont="1" applyFill="1" applyBorder="1" applyAlignment="1"/>
    <xf numFmtId="0" fontId="34" fillId="0" borderId="13" xfId="0" applyFont="1" applyBorder="1" applyAlignment="1"/>
    <xf numFmtId="0" fontId="36" fillId="33" borderId="16" xfId="0" applyFont="1" applyFill="1" applyBorder="1" applyAlignment="1"/>
    <xf numFmtId="0" fontId="21" fillId="38" borderId="10" xfId="0" applyFont="1" applyFill="1" applyBorder="1" applyAlignment="1">
      <alignment horizontal="right"/>
    </xf>
    <xf numFmtId="0" fontId="37" fillId="34" borderId="19" xfId="0" applyFont="1" applyFill="1" applyBorder="1" applyAlignment="1">
      <alignment horizontal="right" wrapText="1" readingOrder="2"/>
    </xf>
    <xf numFmtId="0" fontId="37" fillId="34" borderId="10" xfId="0" applyFont="1" applyFill="1" applyBorder="1" applyAlignment="1">
      <alignment horizontal="right" vertical="center" readingOrder="2"/>
    </xf>
    <xf numFmtId="0" fontId="39" fillId="37" borderId="10" xfId="0" applyFont="1" applyFill="1" applyBorder="1" applyAlignment="1">
      <alignment horizontal="right"/>
    </xf>
    <xf numFmtId="0" fontId="39" fillId="36" borderId="10" xfId="0" applyFont="1" applyFill="1" applyBorder="1" applyAlignment="1">
      <alignment horizontal="right"/>
    </xf>
    <xf numFmtId="0" fontId="38" fillId="34" borderId="12" xfId="0" applyFont="1" applyFill="1" applyBorder="1" applyAlignment="1">
      <alignment horizontal="right"/>
    </xf>
    <xf numFmtId="0" fontId="38" fillId="34" borderId="10" xfId="0" applyFont="1" applyFill="1" applyBorder="1" applyAlignment="1">
      <alignment horizontal="right"/>
    </xf>
    <xf numFmtId="14" fontId="21" fillId="37" borderId="10" xfId="0" applyNumberFormat="1" applyFont="1" applyFill="1" applyBorder="1" applyAlignment="1">
      <alignment horizontal="right"/>
    </xf>
    <xf numFmtId="0" fontId="38" fillId="35" borderId="10" xfId="0" applyFont="1" applyFill="1" applyBorder="1" applyAlignment="1">
      <alignment horizontal="right"/>
    </xf>
    <xf numFmtId="0" fontId="40" fillId="34" borderId="10" xfId="0" applyFont="1" applyFill="1" applyBorder="1" applyAlignment="1">
      <alignment horizontal="right" vertical="center" readingOrder="2"/>
    </xf>
    <xf numFmtId="0" fontId="38" fillId="34" borderId="10" xfId="0" applyFont="1" applyFill="1" applyBorder="1" applyAlignment="1">
      <alignment horizontal="right" wrapText="1" readingOrder="2"/>
    </xf>
    <xf numFmtId="14" fontId="38" fillId="35" borderId="10" xfId="0" applyNumberFormat="1" applyFont="1" applyFill="1" applyBorder="1" applyAlignment="1">
      <alignment horizontal="right"/>
    </xf>
    <xf numFmtId="0" fontId="21" fillId="34" borderId="10" xfId="0" applyFont="1" applyFill="1" applyBorder="1" applyAlignment="1">
      <alignment horizontal="right" vertical="center" readingOrder="2"/>
    </xf>
    <xf numFmtId="14" fontId="38" fillId="34" borderId="10" xfId="0" applyNumberFormat="1" applyFont="1" applyFill="1" applyBorder="1" applyAlignment="1">
      <alignment horizontal="right"/>
    </xf>
    <xf numFmtId="0" fontId="25" fillId="33" borderId="33" xfId="0" applyFont="1" applyFill="1" applyBorder="1" applyAlignment="1">
      <alignment wrapText="1" readingOrder="2"/>
    </xf>
    <xf numFmtId="0" fontId="21" fillId="37" borderId="17" xfId="0" applyFont="1" applyFill="1" applyBorder="1" applyAlignment="1">
      <alignment horizontal="right"/>
    </xf>
    <xf numFmtId="0" fontId="21" fillId="35" borderId="10" xfId="0" applyFont="1" applyFill="1" applyBorder="1" applyAlignment="1"/>
    <xf numFmtId="0" fontId="21" fillId="34" borderId="10" xfId="0" applyFont="1" applyFill="1" applyBorder="1" applyAlignment="1"/>
    <xf numFmtId="0" fontId="39" fillId="36" borderId="10" xfId="0" applyFont="1" applyFill="1" applyBorder="1" applyAlignment="1">
      <alignment horizontal="right" wrapText="1" readingOrder="2"/>
    </xf>
    <xf numFmtId="0" fontId="38" fillId="34" borderId="10" xfId="0" applyFont="1" applyFill="1" applyBorder="1" applyAlignment="1">
      <alignment wrapText="1" readingOrder="2"/>
    </xf>
    <xf numFmtId="0" fontId="40" fillId="34" borderId="10" xfId="0" applyFont="1" applyFill="1" applyBorder="1" applyAlignment="1">
      <alignment vertical="center" readingOrder="2"/>
    </xf>
    <xf numFmtId="0" fontId="21" fillId="34" borderId="12" xfId="0" applyFont="1" applyFill="1" applyBorder="1" applyAlignment="1">
      <alignment horizontal="right"/>
    </xf>
    <xf numFmtId="0" fontId="40" fillId="34" borderId="12" xfId="0" applyFont="1" applyFill="1" applyBorder="1" applyAlignment="1">
      <alignment horizontal="right" vertical="center" readingOrder="2"/>
    </xf>
    <xf numFmtId="0" fontId="21" fillId="34" borderId="10" xfId="0" applyFont="1" applyFill="1" applyBorder="1" applyAlignment="1">
      <alignment vertical="center" readingOrder="2"/>
    </xf>
    <xf numFmtId="0" fontId="21" fillId="36" borderId="17" xfId="0" applyFont="1" applyFill="1" applyBorder="1" applyAlignment="1">
      <alignment horizontal="right"/>
    </xf>
    <xf numFmtId="0" fontId="37" fillId="34" borderId="10" xfId="0" applyFont="1" applyFill="1" applyBorder="1" applyAlignment="1">
      <alignment horizontal="right" wrapText="1" readingOrder="2"/>
    </xf>
    <xf numFmtId="0" fontId="21" fillId="36" borderId="19" xfId="0" applyFont="1" applyFill="1" applyBorder="1" applyAlignment="1">
      <alignment horizontal="right"/>
    </xf>
    <xf numFmtId="0" fontId="37" fillId="34" borderId="25" xfId="0" applyFont="1" applyFill="1" applyBorder="1" applyAlignment="1">
      <alignment horizontal="right" wrapText="1" readingOrder="2"/>
    </xf>
    <xf numFmtId="0" fontId="21" fillId="34" borderId="10" xfId="0" applyFont="1" applyFill="1" applyBorder="1" applyAlignment="1">
      <alignment horizontal="right"/>
    </xf>
    <xf numFmtId="0" fontId="21" fillId="36" borderId="19" xfId="0" applyFont="1" applyFill="1" applyBorder="1" applyAlignment="1">
      <alignment horizontal="right" wrapText="1" readingOrder="2"/>
    </xf>
    <xf numFmtId="14" fontId="33" fillId="36" borderId="10" xfId="0" applyNumberFormat="1" applyFont="1" applyFill="1" applyBorder="1" applyAlignment="1">
      <alignment horizontal="right"/>
    </xf>
    <xf numFmtId="0" fontId="33" fillId="37" borderId="10" xfId="0" applyFont="1" applyFill="1" applyBorder="1" applyAlignment="1">
      <alignment horizontal="right"/>
    </xf>
    <xf numFmtId="0" fontId="32" fillId="34" borderId="34" xfId="0" applyFont="1" applyFill="1" applyBorder="1" applyAlignment="1"/>
    <xf numFmtId="0" fontId="32" fillId="34" borderId="35" xfId="0" applyFont="1" applyFill="1" applyBorder="1" applyAlignment="1"/>
    <xf numFmtId="14" fontId="21" fillId="36" borderId="17" xfId="0" applyNumberFormat="1" applyFont="1" applyFill="1" applyBorder="1" applyAlignment="1">
      <alignment horizontal="right"/>
    </xf>
    <xf numFmtId="14" fontId="21" fillId="36" borderId="12" xfId="0" applyNumberFormat="1" applyFont="1" applyFill="1" applyBorder="1" applyAlignment="1"/>
    <xf numFmtId="0" fontId="21" fillId="40" borderId="10" xfId="0" applyFont="1" applyFill="1" applyBorder="1" applyAlignment="1">
      <alignment horizontal="right"/>
    </xf>
    <xf numFmtId="0" fontId="37" fillId="34" borderId="10" xfId="0" applyFont="1" applyFill="1" applyBorder="1" applyAlignment="1"/>
    <xf numFmtId="0" fontId="38" fillId="36" borderId="10" xfId="0" applyFont="1" applyFill="1" applyBorder="1" applyAlignment="1">
      <alignment horizontal="right" wrapText="1" readingOrder="2"/>
    </xf>
    <xf numFmtId="14" fontId="38" fillId="36" borderId="10" xfId="0" applyNumberFormat="1" applyFont="1" applyFill="1" applyBorder="1" applyAlignment="1">
      <alignment horizontal="right"/>
    </xf>
    <xf numFmtId="0" fontId="38" fillId="37" borderId="10" xfId="0" applyFont="1" applyFill="1" applyBorder="1" applyAlignment="1">
      <alignment horizontal="right"/>
    </xf>
    <xf numFmtId="0" fontId="40" fillId="0" borderId="0" xfId="0" applyFont="1" applyAlignment="1">
      <alignment vertical="center" readingOrder="2"/>
    </xf>
    <xf numFmtId="0" fontId="38" fillId="40" borderId="10" xfId="0" applyFont="1" applyFill="1" applyBorder="1" applyAlignment="1">
      <alignment wrapText="1" readingOrder="2"/>
    </xf>
    <xf numFmtId="14" fontId="38" fillId="35" borderId="10" xfId="0" applyNumberFormat="1" applyFont="1" applyFill="1" applyBorder="1" applyAlignment="1"/>
    <xf numFmtId="0" fontId="40" fillId="34" borderId="10" xfId="0" applyFont="1" applyFill="1" applyBorder="1" applyAlignment="1"/>
    <xf numFmtId="0" fontId="35" fillId="34" borderId="10" xfId="0" applyFont="1" applyFill="1" applyBorder="1" applyAlignment="1"/>
    <xf numFmtId="0" fontId="41" fillId="38" borderId="10" xfId="0" applyFont="1" applyFill="1" applyBorder="1" applyAlignment="1">
      <alignment horizontal="right"/>
    </xf>
    <xf numFmtId="0" fontId="41" fillId="36" borderId="25" xfId="0" applyFont="1" applyFill="1" applyBorder="1" applyAlignment="1">
      <alignment horizontal="right"/>
    </xf>
    <xf numFmtId="0" fontId="43" fillId="36" borderId="10" xfId="0" applyFont="1" applyFill="1" applyBorder="1" applyAlignment="1">
      <alignment horizontal="right"/>
    </xf>
    <xf numFmtId="0" fontId="43" fillId="36" borderId="17" xfId="0" applyFont="1" applyFill="1" applyBorder="1" applyAlignment="1">
      <alignment horizontal="right"/>
    </xf>
    <xf numFmtId="168" fontId="21" fillId="37" borderId="17" xfId="0" applyNumberFormat="1" applyFont="1" applyFill="1" applyBorder="1" applyAlignment="1">
      <alignment horizontal="right"/>
    </xf>
    <xf numFmtId="0" fontId="42" fillId="36" borderId="19" xfId="0" applyFont="1" applyFill="1" applyBorder="1" applyAlignment="1">
      <alignment horizontal="right"/>
    </xf>
    <xf numFmtId="0" fontId="42" fillId="36" borderId="19" xfId="0" applyFont="1" applyFill="1" applyBorder="1" applyAlignment="1">
      <alignment horizontal="right" wrapText="1" readingOrder="2"/>
    </xf>
    <xf numFmtId="0" fontId="42" fillId="38" borderId="19" xfId="0" applyFont="1" applyFill="1" applyBorder="1" applyAlignment="1">
      <alignment horizontal="right"/>
    </xf>
    <xf numFmtId="0" fontId="42" fillId="38" borderId="10" xfId="0" applyFont="1" applyFill="1" applyBorder="1" applyAlignment="1">
      <alignment horizontal="right"/>
    </xf>
    <xf numFmtId="0" fontId="42" fillId="36" borderId="10" xfId="0" applyFont="1" applyFill="1" applyBorder="1" applyAlignment="1">
      <alignment horizontal="right"/>
    </xf>
    <xf numFmtId="0" fontId="42" fillId="34" borderId="10" xfId="0" applyFont="1" applyFill="1" applyBorder="1" applyAlignment="1">
      <alignment horizontal="right" wrapText="1" readingOrder="2"/>
    </xf>
    <xf numFmtId="0" fontId="42" fillId="36" borderId="30" xfId="0" applyFont="1" applyFill="1" applyBorder="1" applyAlignment="1">
      <alignment horizontal="right" vertical="center" readingOrder="2"/>
    </xf>
    <xf numFmtId="0" fontId="42" fillId="36" borderId="31" xfId="0" applyFont="1" applyFill="1" applyBorder="1" applyAlignment="1">
      <alignment horizontal="right" vertical="center" readingOrder="2"/>
    </xf>
    <xf numFmtId="0" fontId="42" fillId="36" borderId="22" xfId="0" applyFont="1" applyFill="1" applyBorder="1" applyAlignment="1">
      <alignment horizontal="right" vertical="center" readingOrder="2"/>
    </xf>
    <xf numFmtId="0" fontId="42" fillId="36" borderId="17" xfId="0" applyFont="1" applyFill="1" applyBorder="1" applyAlignment="1">
      <alignment horizontal="right"/>
    </xf>
    <xf numFmtId="0" fontId="42" fillId="36" borderId="10" xfId="0" applyFont="1" applyFill="1" applyBorder="1" applyAlignment="1">
      <alignment horizontal="right" vertical="center" readingOrder="2"/>
    </xf>
    <xf numFmtId="0" fontId="42" fillId="0" borderId="10" xfId="0" applyFont="1" applyBorder="1" applyAlignment="1">
      <alignment horizontal="right" vertical="center" readingOrder="2"/>
    </xf>
    <xf numFmtId="0" fontId="42" fillId="36" borderId="10" xfId="0" applyFont="1" applyFill="1" applyBorder="1" applyAlignment="1">
      <alignment horizontal="right" wrapText="1" readingOrder="2"/>
    </xf>
    <xf numFmtId="0" fontId="42" fillId="39" borderId="32" xfId="0" applyFont="1" applyFill="1" applyBorder="1" applyAlignment="1">
      <alignment horizontal="right" wrapText="1" readingOrder="2"/>
    </xf>
    <xf numFmtId="0" fontId="42" fillId="39" borderId="25" xfId="0" applyFont="1" applyFill="1" applyBorder="1" applyAlignment="1">
      <alignment horizontal="right" wrapText="1" readingOrder="2"/>
    </xf>
    <xf numFmtId="0" fontId="42" fillId="34" borderId="19" xfId="0" applyFont="1" applyFill="1" applyBorder="1" applyAlignment="1">
      <alignment horizontal="right" wrapText="1" readingOrder="2"/>
    </xf>
    <xf numFmtId="0" fontId="42" fillId="38" borderId="10" xfId="0" applyFont="1" applyFill="1" applyBorder="1" applyAlignment="1">
      <alignment horizontal="right" wrapText="1" readingOrder="2"/>
    </xf>
    <xf numFmtId="0" fontId="42" fillId="36" borderId="25" xfId="0" applyFont="1" applyFill="1" applyBorder="1" applyAlignment="1">
      <alignment horizontal="right"/>
    </xf>
    <xf numFmtId="0" fontId="42" fillId="36" borderId="17" xfId="0" applyFont="1" applyFill="1" applyBorder="1" applyAlignment="1">
      <alignment horizontal="right" wrapText="1" readingOrder="2"/>
    </xf>
    <xf numFmtId="0" fontId="42" fillId="36" borderId="24" xfId="0" applyFont="1" applyFill="1" applyBorder="1" applyAlignment="1">
      <alignment horizontal="right"/>
    </xf>
    <xf numFmtId="0" fontId="42" fillId="34" borderId="19" xfId="0" applyFont="1" applyFill="1" applyBorder="1" applyAlignment="1">
      <alignment horizontal="right"/>
    </xf>
    <xf numFmtId="0" fontId="22" fillId="34" borderId="17" xfId="0" applyFont="1" applyFill="1" applyBorder="1" applyAlignment="1">
      <alignment vertical="center" readingOrder="2"/>
    </xf>
    <xf numFmtId="0" fontId="22" fillId="34" borderId="17" xfId="0" applyFont="1" applyFill="1" applyBorder="1" applyAlignment="1"/>
    <xf numFmtId="168" fontId="22" fillId="34" borderId="17" xfId="0" applyNumberFormat="1" applyFont="1" applyFill="1" applyBorder="1" applyAlignment="1"/>
    <xf numFmtId="0" fontId="38" fillId="34" borderId="12" xfId="0" applyFont="1" applyFill="1" applyBorder="1" applyAlignment="1">
      <alignment wrapText="1" readingOrder="2"/>
    </xf>
    <xf numFmtId="0" fontId="33" fillId="36" borderId="19" xfId="0" applyFont="1" applyFill="1" applyBorder="1" applyAlignment="1">
      <alignment horizontal="right" wrapText="1" readingOrder="2"/>
    </xf>
    <xf numFmtId="0" fontId="37" fillId="36" borderId="10" xfId="0" applyFont="1" applyFill="1" applyBorder="1" applyAlignment="1">
      <alignment vertical="center" readingOrder="2"/>
    </xf>
    <xf numFmtId="0" fontId="21" fillId="36" borderId="22" xfId="0" applyFont="1" applyFill="1" applyBorder="1" applyAlignment="1">
      <alignment horizontal="right"/>
    </xf>
    <xf numFmtId="0" fontId="21" fillId="36" borderId="23" xfId="0" applyFont="1" applyFill="1" applyBorder="1" applyAlignment="1">
      <alignment horizontal="right"/>
    </xf>
    <xf numFmtId="0" fontId="33" fillId="36" borderId="25" xfId="0" applyFont="1" applyFill="1" applyBorder="1" applyAlignment="1">
      <alignment horizontal="right" wrapText="1" readingOrder="2"/>
    </xf>
    <xf numFmtId="0" fontId="37" fillId="40" borderId="10" xfId="0" applyFont="1" applyFill="1" applyBorder="1" applyAlignment="1">
      <alignment vertical="center" readingOrder="2"/>
    </xf>
    <xf numFmtId="0" fontId="21" fillId="0" borderId="10" xfId="0" applyFont="1" applyBorder="1" applyAlignment="1">
      <alignment horizontal="right" readingOrder="2"/>
    </xf>
    <xf numFmtId="0" fontId="33" fillId="36" borderId="0" xfId="0" applyFont="1" applyFill="1" applyAlignment="1">
      <alignment horizontal="right" wrapText="1" readingOrder="2"/>
    </xf>
    <xf numFmtId="0" fontId="38" fillId="36" borderId="22" xfId="0" applyFont="1" applyFill="1" applyBorder="1" applyAlignment="1">
      <alignment horizontal="right" wrapText="1" readingOrder="2"/>
    </xf>
    <xf numFmtId="0" fontId="38" fillId="34" borderId="22" xfId="0" applyFont="1" applyFill="1" applyBorder="1" applyAlignment="1">
      <alignment horizontal="right" wrapText="1" readingOrder="2"/>
    </xf>
    <xf numFmtId="0" fontId="38" fillId="34" borderId="25" xfId="0" applyFont="1" applyFill="1" applyBorder="1" applyAlignment="1">
      <alignment wrapText="1" readingOrder="2"/>
    </xf>
    <xf numFmtId="0" fontId="38" fillId="34" borderId="19" xfId="0" applyFont="1" applyFill="1" applyBorder="1" applyAlignment="1">
      <alignment wrapText="1" readingOrder="2"/>
    </xf>
    <xf numFmtId="0" fontId="40" fillId="34" borderId="12" xfId="0" applyFont="1" applyFill="1" applyBorder="1" applyAlignment="1">
      <alignment vertical="center" readingOrder="2"/>
    </xf>
    <xf numFmtId="0" fontId="21" fillId="35" borderId="12" xfId="0" applyFont="1" applyFill="1" applyBorder="1" applyAlignment="1"/>
    <xf numFmtId="0" fontId="22" fillId="34" borderId="12" xfId="0" applyFont="1" applyFill="1" applyBorder="1" applyAlignment="1">
      <alignment vertical="center" readingOrder="2"/>
    </xf>
    <xf numFmtId="0" fontId="40" fillId="34" borderId="13" xfId="0" applyFont="1" applyFill="1" applyBorder="1" applyAlignment="1">
      <alignment vertical="center" readingOrder="2"/>
    </xf>
    <xf numFmtId="0" fontId="38" fillId="34" borderId="13" xfId="0" applyFont="1" applyFill="1" applyBorder="1" applyAlignment="1">
      <alignment horizontal="right"/>
    </xf>
    <xf numFmtId="0" fontId="21" fillId="37" borderId="12" xfId="0" applyFont="1" applyFill="1" applyBorder="1" applyAlignment="1">
      <alignment horizontal="right"/>
    </xf>
    <xf numFmtId="0" fontId="21" fillId="34" borderId="17" xfId="0" applyFont="1" applyFill="1" applyBorder="1" applyAlignment="1">
      <alignment horizontal="right"/>
    </xf>
    <xf numFmtId="0" fontId="42" fillId="40" borderId="10" xfId="0" applyFont="1" applyFill="1" applyBorder="1" applyAlignment="1">
      <alignment horizontal="right"/>
    </xf>
    <xf numFmtId="14" fontId="21" fillId="40" borderId="17" xfId="0" applyNumberFormat="1" applyFont="1" applyFill="1" applyBorder="1" applyAlignment="1">
      <alignment horizontal="right"/>
    </xf>
    <xf numFmtId="0" fontId="21" fillId="40" borderId="19" xfId="0" applyFont="1" applyFill="1" applyBorder="1" applyAlignment="1"/>
    <xf numFmtId="0" fontId="21" fillId="40" borderId="10" xfId="0" applyFont="1" applyFill="1" applyBorder="1" applyAlignment="1"/>
    <xf numFmtId="168" fontId="21" fillId="40" borderId="10" xfId="0" applyNumberFormat="1" applyFont="1" applyFill="1" applyBorder="1" applyAlignment="1"/>
    <xf numFmtId="168" fontId="21" fillId="40" borderId="10" xfId="0" applyNumberFormat="1" applyFont="1" applyFill="1" applyBorder="1" applyAlignment="1">
      <alignment horizontal="right"/>
    </xf>
    <xf numFmtId="0" fontId="29" fillId="40" borderId="10" xfId="0" applyFont="1" applyFill="1" applyBorder="1" applyAlignment="1"/>
    <xf numFmtId="0" fontId="42" fillId="40" borderId="30" xfId="0" applyFont="1" applyFill="1" applyBorder="1" applyAlignment="1">
      <alignment horizontal="right" vertical="center" readingOrder="2"/>
    </xf>
    <xf numFmtId="0" fontId="18" fillId="0" borderId="20" xfId="0" applyFont="1" applyBorder="1" applyAlignment="1">
      <alignment horizontal="center" readingOrder="2"/>
    </xf>
    <xf numFmtId="0" fontId="18" fillId="0" borderId="0" xfId="0" applyFont="1" applyAlignment="1">
      <alignment horizontal="center" readingOrder="2"/>
    </xf>
  </cellXfs>
  <cellStyles count="47">
    <cellStyle name="20% - تمييز1" xfId="24" builtinId="30" customBuiltin="1"/>
    <cellStyle name="20% - تمييز2" xfId="28" builtinId="34" customBuiltin="1"/>
    <cellStyle name="20% - تمييز3" xfId="32" builtinId="38" customBuiltin="1"/>
    <cellStyle name="20% - تمييز4" xfId="36" builtinId="42" customBuiltin="1"/>
    <cellStyle name="20% - تمييز5" xfId="40" builtinId="46" customBuiltin="1"/>
    <cellStyle name="20% - تمييز6" xfId="44" builtinId="50" customBuiltin="1"/>
    <cellStyle name="40% - تمييز1" xfId="25" builtinId="31" customBuiltin="1"/>
    <cellStyle name="40% - تمييز2" xfId="29" builtinId="35" customBuiltin="1"/>
    <cellStyle name="40% - تمييز3" xfId="33" builtinId="39" customBuiltin="1"/>
    <cellStyle name="40% - تمييز4" xfId="37" builtinId="43" customBuiltin="1"/>
    <cellStyle name="40% - تمييز5" xfId="41" builtinId="47" customBuiltin="1"/>
    <cellStyle name="40% - تمييز6" xfId="45" builtinId="51" customBuiltin="1"/>
    <cellStyle name="60% - تمييز1" xfId="26" builtinId="32" customBuiltin="1"/>
    <cellStyle name="60% - تمييز2" xfId="30" builtinId="36" customBuiltin="1"/>
    <cellStyle name="60% - تمييز3" xfId="34" builtinId="40" customBuiltin="1"/>
    <cellStyle name="60% - تمييز4" xfId="38" builtinId="44" customBuiltin="1"/>
    <cellStyle name="60% - تمييز5" xfId="42" builtinId="48" customBuiltin="1"/>
    <cellStyle name="60% - تمييز6" xfId="46" builtinId="52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Percent" xfId="5" builtinId="5" customBuiltin="1"/>
    <cellStyle name="إخراج" xfId="15" builtinId="21" customBuiltin="1"/>
    <cellStyle name="إدخال" xfId="14" builtinId="20" customBuiltin="1"/>
    <cellStyle name="الإجمالي" xfId="22" builtinId="25" customBuiltin="1"/>
    <cellStyle name="تمييز1" xfId="23" builtinId="29" customBuiltin="1"/>
    <cellStyle name="تمييز2" xfId="27" builtinId="33" customBuiltin="1"/>
    <cellStyle name="تمييز3" xfId="31" builtinId="37" customBuiltin="1"/>
    <cellStyle name="تمييز4" xfId="35" builtinId="41" customBuiltin="1"/>
    <cellStyle name="تمييز5" xfId="39" builtinId="45" customBuiltin="1"/>
    <cellStyle name="تمييز6" xfId="43" builtinId="49" customBuiltin="1"/>
    <cellStyle name="جيد" xfId="11" builtinId="26" customBuiltin="1"/>
    <cellStyle name="حساب" xfId="16" builtinId="22" customBuiltin="1"/>
    <cellStyle name="خلية تدقيق" xfId="18" builtinId="23" customBuiltin="1"/>
    <cellStyle name="خلية مرتبطة" xfId="17" builtinId="24" customBuiltin="1"/>
    <cellStyle name="سيئ" xfId="12" builtinId="27" customBuiltin="1"/>
    <cellStyle name="عادي" xfId="0" builtinId="0" customBuiltin="1"/>
    <cellStyle name="عنوان" xfId="6" builtinId="15" customBuiltin="1"/>
    <cellStyle name="عنوان 1" xfId="7" builtinId="16" customBuiltin="1"/>
    <cellStyle name="عنوان 2" xfId="8" builtinId="17" customBuiltin="1"/>
    <cellStyle name="عنوان 3" xfId="9" builtinId="18" customBuiltin="1"/>
    <cellStyle name="عنوان 4" xfId="10" builtinId="19" customBuiltin="1"/>
    <cellStyle name="محايد" xfId="13" builtinId="28" customBuiltin="1"/>
    <cellStyle name="ملاحظة" xfId="20" builtinId="10" customBuiltin="1"/>
    <cellStyle name="نص تحذير" xfId="19" builtinId="11" customBuiltin="1"/>
    <cellStyle name="نص توضيحي" xfId="21" builtinId="53" customBuiltin="1"/>
  </cellStyles>
  <dxfs count="296">
    <dxf>
      <font>
        <color rgb="FF9C0006"/>
      </font>
      <fill>
        <patternFill>
          <bgColor rgb="FFFFC7CE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color rgb="FF9C0006"/>
      </font>
      <fill>
        <patternFill>
          <bgColor rgb="FFFFC7CE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8"/>
        <scheme val="none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theme="6" tint="0.59996337778862885"/>
        </top>
        <bottom style="thick">
          <color indexed="64"/>
        </bottom>
        <vertical/>
        <horizontal/>
      </border>
    </dxf>
    <dxf>
      <border outline="0">
        <top style="thick">
          <color rgb="FFFFFFFF"/>
        </top>
        <bottom style="thick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78"/>
        <scheme val="none"/>
      </font>
      <fill>
        <patternFill patternType="solid">
          <fgColor rgb="FF000000"/>
          <bgColor rgb="FFFCFBF3"/>
        </patternFill>
      </fill>
      <alignment horizontal="general" vertical="bottom" textRotation="0" wrapText="0" indent="0" justifyLastLine="0" shrinkToFit="0" readingOrder="0"/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3" tint="0.59999389629810485"/>
        <name val="Arial"/>
        <family val="2"/>
        <scheme val="none"/>
      </font>
      <numFmt numFmtId="2" formatCode="0.00"/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charset val="178"/>
        <scheme val="none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 outline="0">
        <top style="thick">
          <color rgb="FFFFFFFF"/>
        </top>
        <bottom style="thick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charset val="178"/>
        <scheme val="none"/>
      </font>
      <fill>
        <patternFill patternType="solid">
          <fgColor rgb="FF000000"/>
          <bgColor rgb="FFFCFBF3"/>
        </patternFill>
      </fill>
      <alignment horizontal="general" vertical="bottom" textRotation="0" wrapText="0" indent="0" justifyLastLine="0" shrinkToFit="0" readingOrder="0"/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 tint="0.3999755851924192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alignment vertical="center" textRotation="0" wrapText="0" justifyLastLine="0" shrinkToFit="0" readingOrder="2"/>
    </dxf>
    <dxf>
      <font>
        <b/>
        <strike val="0"/>
        <outline val="0"/>
        <shadow val="0"/>
        <u val="none"/>
        <vertAlign val="baseline"/>
        <sz val="11"/>
        <color theme="1"/>
        <name val="Tahoma"/>
        <family val="2"/>
        <charset val="178"/>
        <scheme val="none"/>
      </font>
      <numFmt numFmtId="168" formatCode="_-[$$-540A]* #,##0.00_ ;_-[$$-540A]* \-#,##0.00\ ;_-[$$-540A]* &quot;-&quot;??_ ;_-@_ "/>
      <fill>
        <patternFill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Tahoma"/>
        <family val="2"/>
        <charset val="178"/>
        <scheme val="none"/>
      </font>
      <fill>
        <patternFill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charset val="178"/>
        <scheme val="none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general" vertical="center" textRotation="0" wrapText="0" indent="0" justifyLastLine="0" shrinkToFit="0" readingOrder="2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charset val="178"/>
        <scheme val="none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general" vertical="center" textRotation="0" wrapText="0" indent="0" justifyLastLine="0" shrinkToFit="0" readingOrder="2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1"/>
        <name val="Tahoma"/>
        <family val="2"/>
        <charset val="178"/>
        <scheme val="none"/>
      </font>
      <numFmt numFmtId="0" formatCode="General"/>
      <fill>
        <patternFill>
          <bgColor theme="4" tint="0.59999389629810485"/>
        </patternFill>
      </fill>
      <alignment horizontal="general" vertical="center" textRotation="0" wrapText="0" indent="0" justifyLastLine="0" shrinkToFit="0" readingOrder="2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right" vertical="center" textRotation="0" wrapText="0" indent="1" justifyLastLine="0" shrinkToFit="0" readingOrder="2"/>
    </dxf>
    <dxf>
      <font>
        <b/>
        <strike val="0"/>
        <outline val="0"/>
        <shadow val="0"/>
        <u val="none"/>
        <vertAlign val="baseline"/>
        <sz val="11"/>
        <color theme="1"/>
        <name val="Tahoma"/>
        <family val="2"/>
        <charset val="178"/>
        <scheme val="none"/>
      </font>
      <numFmt numFmtId="169" formatCode="yyyy\-mm\-dd;@"/>
      <fill>
        <patternFill>
          <bgColor theme="4" tint="0.59999389629810485"/>
        </patternFill>
      </fill>
      <alignment horizontal="general" vertical="center" textRotation="0" wrapText="0" indent="0" justifyLastLine="0" shrinkToFit="0" readingOrder="2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right" vertical="bottom" textRotation="0" wrapText="1" indent="0" justifyLastLine="0" shrinkToFit="0" readingOrder="2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alignment vertical="center" textRotation="0" wrapText="0" justifyLastLine="0" shrinkToFit="0" readingOrder="2"/>
    </dxf>
    <dxf>
      <font>
        <b/>
        <strike val="0"/>
        <outline val="0"/>
        <shadow val="0"/>
        <u val="none"/>
        <vertAlign val="baseline"/>
        <sz val="11"/>
        <color rgb="FF000000"/>
        <name val="Tahoma"/>
        <family val="2"/>
        <charset val="178"/>
        <scheme val="none"/>
      </font>
      <fill>
        <patternFill>
          <bgColor rgb="FFFCFBF3"/>
        </patternFill>
      </fill>
      <alignment horizontal="general" vertical="center" textRotation="0" wrapText="0" indent="0" justifyLastLine="0" shrinkToFit="0" readingOrder="2"/>
    </dxf>
    <dxf>
      <border>
        <bottom style="thick">
          <color rgb="FFFFFFFF"/>
        </bottom>
      </border>
    </dxf>
    <dxf>
      <font>
        <i val="0"/>
        <strike val="0"/>
        <outline val="0"/>
        <shadow val="0"/>
        <u val="none"/>
        <vertAlign val="baseline"/>
        <sz val="16"/>
        <color theme="1"/>
        <name val="Arial"/>
        <family val="2"/>
        <scheme val="none"/>
      </font>
      <fill>
        <patternFill patternType="none">
          <fgColor indexed="64"/>
          <bgColor theme="1"/>
        </patternFill>
      </fill>
      <alignment horizontal="center" vertical="center" textRotation="0" wrapText="1" indent="0" justifyLastLine="0" shrinkToFit="0" readingOrder="2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8"/>
        <scheme val="none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theme="6" tint="0.59996337778862885"/>
        </top>
        <bottom style="thick">
          <color indexed="64"/>
        </bottom>
        <vertical/>
        <horizontal/>
      </border>
    </dxf>
    <dxf>
      <border outline="0">
        <top style="thick">
          <color rgb="FFFFFFFF"/>
        </top>
        <bottom style="thick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78"/>
        <scheme val="none"/>
      </font>
      <fill>
        <patternFill patternType="solid">
          <fgColor rgb="FF000000"/>
          <bgColor rgb="FFFCFBF3"/>
        </patternFill>
      </fill>
      <alignment horizontal="general" vertical="bottom" textRotation="0" wrapText="0" indent="0" justifyLastLine="0" shrinkToFit="0" readingOrder="0"/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3" tint="0.59999389629810485"/>
        <name val="Arial"/>
        <family val="2"/>
        <scheme val="none"/>
      </font>
      <numFmt numFmtId="2" formatCode="0.00"/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charset val="178"/>
        <scheme val="none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 outline="0">
        <top style="thick">
          <color rgb="FFFFFFFF"/>
        </top>
        <bottom style="thick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charset val="178"/>
        <scheme val="none"/>
      </font>
      <fill>
        <patternFill patternType="solid">
          <fgColor rgb="FF000000"/>
          <bgColor rgb="FFFCFBF3"/>
        </patternFill>
      </fill>
      <alignment horizontal="general" vertical="bottom" textRotation="0" wrapText="0" indent="0" justifyLastLine="0" shrinkToFit="0" readingOrder="0"/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 tint="0.3999755851924192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alignment vertical="center" textRotation="0" wrapText="0" justifyLastLine="0" shrinkToFit="0" readingOrder="2"/>
    </dxf>
    <dxf>
      <font>
        <b/>
        <strike val="0"/>
        <outline val="0"/>
        <shadow val="0"/>
        <u val="none"/>
        <vertAlign val="baseline"/>
        <sz val="11"/>
        <color theme="1"/>
        <name val="Tahoma"/>
        <family val="2"/>
        <charset val="178"/>
        <scheme val="none"/>
      </font>
      <numFmt numFmtId="168" formatCode="_-[$$-540A]* #,##0.00_ ;_-[$$-540A]* \-#,##0.00\ ;_-[$$-540A]* &quot;-&quot;??_ ;_-@_ "/>
      <fill>
        <patternFill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Tahoma"/>
        <family val="2"/>
        <charset val="178"/>
        <scheme val="none"/>
      </font>
      <fill>
        <patternFill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Tahoma"/>
        <family val="2"/>
        <charset val="178"/>
        <scheme val="none"/>
      </font>
      <numFmt numFmtId="0" formatCode="General"/>
      <fill>
        <patternFill>
          <bgColor theme="4" tint="0.59999389629810485"/>
        </patternFill>
      </fill>
      <alignment horizontal="general" vertical="center" textRotation="0" wrapText="0" indent="0" justifyLastLine="0" shrinkToFit="0" readingOrder="2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right" vertical="center" textRotation="0" wrapText="0" indent="1" justifyLastLine="0" shrinkToFit="0" readingOrder="2"/>
    </dxf>
    <dxf>
      <font>
        <b/>
        <strike val="0"/>
        <outline val="0"/>
        <shadow val="0"/>
        <u val="none"/>
        <vertAlign val="baseline"/>
        <sz val="11"/>
        <color theme="1"/>
        <name val="Tahoma"/>
        <family val="2"/>
        <charset val="178"/>
        <scheme val="none"/>
      </font>
      <numFmt numFmtId="169" formatCode="yyyy\-mm\-dd;@"/>
      <fill>
        <patternFill>
          <bgColor theme="4" tint="0.59999389629810485"/>
        </patternFill>
      </fill>
      <alignment horizontal="general" vertical="center" textRotation="0" wrapText="0" indent="0" justifyLastLine="0" shrinkToFit="0" readingOrder="2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right" vertical="center" textRotation="0" wrapText="0" indent="1" justifyLastLine="0" shrinkToFit="0" readingOrder="2"/>
    </dxf>
    <dxf>
      <font>
        <b/>
        <strike val="0"/>
        <outline val="0"/>
        <shadow val="0"/>
        <u val="none"/>
        <vertAlign val="baseline"/>
        <sz val="11"/>
        <color theme="1"/>
        <name val="Tahoma"/>
        <family val="2"/>
        <charset val="178"/>
        <scheme val="none"/>
      </font>
      <fill>
        <patternFill>
          <bgColor theme="4" tint="0.59999389629810485"/>
        </patternFill>
      </fill>
      <alignment horizontal="general" vertical="center" textRotation="0" wrapText="0" indent="0" justifyLastLine="0" shrinkToFit="0" readingOrder="2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1" indent="0" justifyLastLine="0" shrinkToFit="0" readingOrder="2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alignment vertical="center" textRotation="0" wrapText="0" justifyLastLine="0" shrinkToFit="0" readingOrder="2"/>
    </dxf>
    <dxf>
      <font>
        <b/>
        <strike val="0"/>
        <outline val="0"/>
        <shadow val="0"/>
        <u val="none"/>
        <vertAlign val="baseline"/>
        <sz val="11"/>
        <color rgb="FF000000"/>
        <name val="Tahoma"/>
        <family val="2"/>
        <charset val="178"/>
        <scheme val="none"/>
      </font>
      <fill>
        <patternFill>
          <bgColor rgb="FFFCFBF3"/>
        </patternFill>
      </fill>
      <alignment horizontal="general" vertical="center" textRotation="0" wrapText="0" indent="0" justifyLastLine="0" shrinkToFit="0" readingOrder="2"/>
    </dxf>
    <dxf>
      <border>
        <bottom style="thick">
          <color rgb="FFFFFFFF"/>
        </bottom>
      </border>
    </dxf>
    <dxf>
      <font>
        <i val="0"/>
        <strike val="0"/>
        <outline val="0"/>
        <shadow val="0"/>
        <u val="none"/>
        <vertAlign val="baseline"/>
        <sz val="16"/>
        <color theme="1"/>
        <name val="Arial"/>
        <family val="2"/>
        <scheme val="none"/>
      </font>
      <fill>
        <patternFill patternType="none">
          <fgColor indexed="64"/>
          <bgColor theme="1"/>
        </patternFill>
      </fill>
      <alignment horizontal="center" vertical="center" textRotation="0" wrapText="1" indent="0" justifyLastLine="0" shrinkToFit="0" readingOrder="2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charset val="178"/>
        <scheme val="none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 outline="0">
        <top style="thick">
          <color theme="0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charset val="178"/>
        <scheme val="none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8"/>
        <scheme val="none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theme="6" tint="0.59996337778862885"/>
        </top>
        <bottom style="thick">
          <color indexed="64"/>
        </bottom>
        <vertical/>
        <horizontal/>
      </border>
    </dxf>
    <dxf>
      <border outline="0">
        <top style="thick">
          <color theme="0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8"/>
        <scheme val="none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3" tint="0.59999389629810485"/>
        <name val="Arial"/>
        <family val="2"/>
        <scheme val="none"/>
      </font>
      <numFmt numFmtId="2" formatCode="0.00"/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charset val="178"/>
        <scheme val="none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 outline="0">
        <top style="thick">
          <color theme="0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charset val="178"/>
        <scheme val="none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alignment vertical="center" textRotation="0" wrapText="0" justifyLastLine="0" shrinkToFit="0" readingOrder="2"/>
    </dxf>
    <dxf>
      <font>
        <b/>
        <strike val="0"/>
        <outline val="0"/>
        <shadow val="0"/>
        <u val="none"/>
        <vertAlign val="baseline"/>
        <sz val="11"/>
        <color theme="1"/>
        <name val="Tahoma"/>
        <family val="2"/>
        <charset val="178"/>
        <scheme val="none"/>
      </font>
      <numFmt numFmtId="0" formatCode="General"/>
      <fill>
        <patternFill>
          <bgColor theme="4" tint="0.59999389629810485"/>
        </patternFill>
      </fill>
      <alignment horizontal="general" vertical="center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sz val="11"/>
        <color theme="1"/>
        <name val="Tahoma"/>
        <family val="2"/>
        <charset val="178"/>
        <scheme val="none"/>
      </font>
      <fill>
        <patternFill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Tahoma"/>
        <family val="2"/>
        <charset val="178"/>
        <scheme val="none"/>
      </font>
      <numFmt numFmtId="0" formatCode="General"/>
      <fill>
        <patternFill>
          <bgColor theme="4" tint="0.59999389629810485"/>
        </patternFill>
      </fill>
      <alignment horizontal="general" vertical="center" textRotation="0" wrapText="0" indent="0" justifyLastLine="0" shrinkToFit="0" readingOrder="2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right" vertical="center" textRotation="0" wrapText="0" indent="1" justifyLastLine="0" shrinkToFit="0" readingOrder="2"/>
    </dxf>
    <dxf>
      <font>
        <b/>
        <strike val="0"/>
        <outline val="0"/>
        <shadow val="0"/>
        <u val="none"/>
        <vertAlign val="baseline"/>
        <sz val="11"/>
        <color theme="1"/>
        <name val="Tahoma"/>
        <family val="2"/>
        <charset val="178"/>
        <scheme val="none"/>
      </font>
      <fill>
        <patternFill>
          <bgColor theme="4" tint="0.59999389629810485"/>
        </patternFill>
      </fill>
      <alignment horizontal="general" vertical="center" textRotation="0" wrapText="0" indent="0" justifyLastLine="0" shrinkToFit="0" readingOrder="2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1" indent="0" justifyLastLine="0" shrinkToFit="0" readingOrder="2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alignment vertical="center" textRotation="0" wrapText="0" justifyLastLine="0" shrinkToFit="0" readingOrder="2"/>
    </dxf>
    <dxf>
      <font>
        <b/>
        <strike val="0"/>
        <outline val="0"/>
        <shadow val="0"/>
        <u val="none"/>
        <vertAlign val="baseline"/>
        <sz val="11"/>
        <color theme="1"/>
        <name val="Tahoma"/>
        <family val="2"/>
        <charset val="178"/>
        <scheme val="none"/>
      </font>
      <fill>
        <patternFill>
          <bgColor theme="4" tint="0.59999389629810485"/>
        </patternFill>
      </fill>
      <alignment horizontal="general" vertical="center" textRotation="0" wrapText="0" indent="0" justifyLastLine="0" shrinkToFit="0" readingOrder="2"/>
    </dxf>
    <dxf>
      <border>
        <bottom style="thick">
          <color theme="0"/>
        </bottom>
      </border>
    </dxf>
    <dxf>
      <font>
        <i val="0"/>
        <strike val="0"/>
        <outline val="0"/>
        <shadow val="0"/>
        <u val="none"/>
        <vertAlign val="baseline"/>
        <sz val="16"/>
        <color theme="1"/>
        <name val="Arial"/>
        <family val="2"/>
        <scheme val="none"/>
      </font>
      <fill>
        <patternFill patternType="none">
          <fgColor indexed="64"/>
          <bgColor theme="1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theme="0"/>
        </left>
        <right style="thick">
          <color theme="0"/>
        </right>
        <top/>
        <bottom/>
        <vertical style="thick">
          <color theme="0"/>
        </vertical>
        <horizontal style="thick">
          <color theme="0"/>
        </horizontal>
      </border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جدول الأعمال" pivot="0" count="3" xr9:uid="{00000000-0011-0000-FFFF-FFFF00000000}">
      <tableStyleElement type="wholeTable" dxfId="295"/>
      <tableStyleElement type="headerRow" dxfId="294"/>
      <tableStyleElement type="secondRowStripe" dxfId="29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</xdr:colOff>
      <xdr:row>0</xdr:row>
      <xdr:rowOff>56696</xdr:rowOff>
    </xdr:from>
    <xdr:to>
      <xdr:col>8</xdr:col>
      <xdr:colOff>102054</xdr:colOff>
      <xdr:row>1</xdr:row>
      <xdr:rowOff>2133</xdr:rowOff>
    </xdr:to>
    <xdr:pic>
      <xdr:nvPicPr>
        <xdr:cNvPr id="2" name="الصورة 1" descr="شعار التلخيص" title="الشعار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flipH="1">
          <a:off x="10770155624" y="56696"/>
          <a:ext cx="11089815" cy="1419544"/>
        </a:xfrm>
        <a:prstGeom prst="rect">
          <a:avLst/>
        </a:prstGeom>
      </xdr:spPr>
    </xdr:pic>
    <xdr:clientData/>
  </xdr:twoCellAnchor>
  <xdr:twoCellAnchor>
    <xdr:from>
      <xdr:col>0</xdr:col>
      <xdr:colOff>417935</xdr:colOff>
      <xdr:row>0</xdr:row>
      <xdr:rowOff>194388</xdr:rowOff>
    </xdr:from>
    <xdr:to>
      <xdr:col>3</xdr:col>
      <xdr:colOff>0</xdr:colOff>
      <xdr:row>1</xdr:row>
      <xdr:rowOff>57150</xdr:rowOff>
    </xdr:to>
    <xdr:sp macro="" textlink="">
      <xdr:nvSpPr>
        <xdr:cNvPr id="8" name="مربع النص 1" descr="قائمة المخزون" title="العنوان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830760866" y="194388"/>
          <a:ext cx="3897475" cy="1340109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b"/>
        <a:lstStyle/>
        <a:p>
          <a:pPr marL="0" algn="ctr" rtl="1"/>
          <a:r>
            <a:rPr lang="ar-SA" sz="3600" b="1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قائمة المخزون</a:t>
          </a:r>
          <a:r>
            <a:rPr lang="ar-SA" sz="3600" b="1" baseline="0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ar-SA" sz="3600" b="1">
              <a:solidFill>
                <a:schemeClr val="tx2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الكامل</a:t>
          </a:r>
        </a:p>
        <a:p>
          <a:pPr marL="0" algn="r" rtl="1"/>
          <a:endParaRPr lang="ar" sz="3600" b="1">
            <a:solidFill>
              <a:schemeClr val="tx2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6</xdr:col>
      <xdr:colOff>907143</xdr:colOff>
      <xdr:row>0</xdr:row>
      <xdr:rowOff>111228</xdr:rowOff>
    </xdr:from>
    <xdr:to>
      <xdr:col>8</xdr:col>
      <xdr:colOff>20734</xdr:colOff>
      <xdr:row>0</xdr:row>
      <xdr:rowOff>1456224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id="{C9D3764D-9E59-21A9-D520-77FB07F0F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0123551" y="111228"/>
          <a:ext cx="2708145" cy="134499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152400</xdr:rowOff>
    </xdr:from>
    <xdr:to>
      <xdr:col>7</xdr:col>
      <xdr:colOff>2766786</xdr:colOff>
      <xdr:row>1</xdr:row>
      <xdr:rowOff>2133</xdr:rowOff>
    </xdr:to>
    <xdr:pic>
      <xdr:nvPicPr>
        <xdr:cNvPr id="2" name="الصورة 1" descr="شعار التلخيص" title="الشعار 1">
          <a:extLst>
            <a:ext uri="{FF2B5EF4-FFF2-40B4-BE49-F238E27FC236}">
              <a16:creationId xmlns:a16="http://schemas.microsoft.com/office/drawing/2014/main" id="{BF0CF439-87B1-4E3E-85CE-A401FFC92A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flipH="1">
          <a:off x="10770155625" y="152400"/>
          <a:ext cx="11259910" cy="1323840"/>
        </a:xfrm>
        <a:prstGeom prst="rect">
          <a:avLst/>
        </a:prstGeom>
      </xdr:spPr>
    </xdr:pic>
    <xdr:clientData/>
  </xdr:twoCellAnchor>
  <xdr:twoCellAnchor>
    <xdr:from>
      <xdr:col>0</xdr:col>
      <xdr:colOff>417935</xdr:colOff>
      <xdr:row>0</xdr:row>
      <xdr:rowOff>194388</xdr:rowOff>
    </xdr:from>
    <xdr:to>
      <xdr:col>3</xdr:col>
      <xdr:colOff>398497</xdr:colOff>
      <xdr:row>1</xdr:row>
      <xdr:rowOff>57150</xdr:rowOff>
    </xdr:to>
    <xdr:sp macro="" textlink="">
      <xdr:nvSpPr>
        <xdr:cNvPr id="3" name="مربع النص 1" descr="قائمة المخزون" title="العنوان 1">
          <a:extLst>
            <a:ext uri="{FF2B5EF4-FFF2-40B4-BE49-F238E27FC236}">
              <a16:creationId xmlns:a16="http://schemas.microsoft.com/office/drawing/2014/main" id="{A5257A8D-761A-47A9-8F07-6CBB9148B211}"/>
            </a:ext>
          </a:extLst>
        </xdr:cNvPr>
        <xdr:cNvSpPr txBox="1"/>
      </xdr:nvSpPr>
      <xdr:spPr>
        <a:xfrm>
          <a:off x="10769966678" y="194388"/>
          <a:ext cx="3838187" cy="1339137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marL="0" algn="r" rtl="1"/>
          <a:r>
            <a:rPr lang="ar-SA" sz="3600" b="1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قائمة المخزون</a:t>
          </a:r>
          <a:r>
            <a:rPr lang="ar-SA" sz="3600" b="1" baseline="0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ar-SA" sz="3600" b="1">
              <a:solidFill>
                <a:schemeClr val="tx2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الكامل</a:t>
          </a:r>
        </a:p>
        <a:p>
          <a:pPr marL="0" algn="r" rtl="1"/>
          <a:endParaRPr lang="ar" sz="3600" b="1">
            <a:solidFill>
              <a:schemeClr val="tx2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833729</xdr:colOff>
      <xdr:row>0</xdr:row>
      <xdr:rowOff>123632</xdr:rowOff>
    </xdr:from>
    <xdr:to>
      <xdr:col>6</xdr:col>
      <xdr:colOff>525624</xdr:colOff>
      <xdr:row>1</xdr:row>
      <xdr:rowOff>152207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id="{278CBB41-5E81-425C-B7F5-568EB2B8A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6494916" y="123632"/>
          <a:ext cx="3036530" cy="15049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129722</xdr:rowOff>
    </xdr:from>
    <xdr:to>
      <xdr:col>8</xdr:col>
      <xdr:colOff>3106962</xdr:colOff>
      <xdr:row>0</xdr:row>
      <xdr:rowOff>1453562</xdr:rowOff>
    </xdr:to>
    <xdr:pic>
      <xdr:nvPicPr>
        <xdr:cNvPr id="2" name="الصورة 1" descr="شعار التلخيص" title="الشعار 1">
          <a:extLst>
            <a:ext uri="{FF2B5EF4-FFF2-40B4-BE49-F238E27FC236}">
              <a16:creationId xmlns:a16="http://schemas.microsoft.com/office/drawing/2014/main" id="{04BA816A-676E-41B4-89B2-870A514C80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flipH="1">
          <a:off x="10769509288" y="129722"/>
          <a:ext cx="12688658" cy="1323840"/>
        </a:xfrm>
        <a:prstGeom prst="rect">
          <a:avLst/>
        </a:prstGeom>
      </xdr:spPr>
    </xdr:pic>
    <xdr:clientData/>
  </xdr:twoCellAnchor>
  <xdr:twoCellAnchor>
    <xdr:from>
      <xdr:col>0</xdr:col>
      <xdr:colOff>417935</xdr:colOff>
      <xdr:row>0</xdr:row>
      <xdr:rowOff>194388</xdr:rowOff>
    </xdr:from>
    <xdr:to>
      <xdr:col>2</xdr:col>
      <xdr:colOff>398497</xdr:colOff>
      <xdr:row>0</xdr:row>
      <xdr:rowOff>1292679</xdr:rowOff>
    </xdr:to>
    <xdr:sp macro="" textlink="">
      <xdr:nvSpPr>
        <xdr:cNvPr id="3" name="مربع النص 1" descr="قائمة المخزون" title="العنوان 1">
          <a:extLst>
            <a:ext uri="{FF2B5EF4-FFF2-40B4-BE49-F238E27FC236}">
              <a16:creationId xmlns:a16="http://schemas.microsoft.com/office/drawing/2014/main" id="{929E0282-D6A9-423D-B367-2652412B8A55}"/>
            </a:ext>
          </a:extLst>
        </xdr:cNvPr>
        <xdr:cNvSpPr txBox="1"/>
      </xdr:nvSpPr>
      <xdr:spPr>
        <a:xfrm>
          <a:off x="10778556413" y="194388"/>
          <a:ext cx="3223598" cy="1098291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marL="0" algn="r" rtl="1"/>
          <a:r>
            <a:rPr lang="ar-SA" sz="3600" b="1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قائمة المخزون</a:t>
          </a:r>
          <a:r>
            <a:rPr lang="ar-SA" sz="3600" b="1" baseline="0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ar-SA" sz="3600" b="1">
              <a:solidFill>
                <a:schemeClr val="tx2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الكامل</a:t>
          </a:r>
        </a:p>
        <a:p>
          <a:pPr marL="0" algn="r" rtl="1"/>
          <a:endParaRPr lang="ar" sz="3600" b="1">
            <a:solidFill>
              <a:schemeClr val="tx2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833729</xdr:colOff>
      <xdr:row>0</xdr:row>
      <xdr:rowOff>123632</xdr:rowOff>
    </xdr:from>
    <xdr:to>
      <xdr:col>5</xdr:col>
      <xdr:colOff>661696</xdr:colOff>
      <xdr:row>1</xdr:row>
      <xdr:rowOff>152207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id="{082359BD-F17A-47B0-814E-0A83D15E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6267676" y="123632"/>
          <a:ext cx="3025645" cy="15049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&#1605;&#1582;&#1586;&#1608;&#1606;%20&#1575;&#1610;&#1608;&#1576;%20&#1575;&#1604;&#1610;&#1608;&#1605;&#1610;.xlsx" TargetMode="External"/><Relationship Id="rId1" Type="http://schemas.openxmlformats.org/officeDocument/2006/relationships/externalLinkPath" Target="&#1605;&#1582;&#1586;&#1608;&#1606;%20&#1575;&#1610;&#1608;&#1576;%20&#1575;&#1604;&#1610;&#1608;&#1605;&#161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-7"/>
      <sheetName val="مخزون ايوب اليومي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_List_Table" displayName="Inventory_List_Table" ref="B3:F386" headerRowDxfId="292" dataDxfId="290" totalsRowDxfId="289" headerRowBorderDxfId="291">
  <autoFilter ref="B3:F386" xr:uid="{00000000-0009-0000-0100-000001000000}">
    <filterColumn colId="0">
      <filters>
        <filter val="sr  fbz100b خلاط مغسلة شك قصير"/>
        <filter val="sr fbz100blخلاط مغسلة شك طويل"/>
        <filter val="خلاط  حمام مصري كروم 200"/>
        <filter val="خلاط bsl جداري نحاس"/>
        <filter val="خلاط BSL حمام"/>
        <filter val="خلاط BSL شك نحاس"/>
        <filter val="خلاط ازرار مع سحابة موديل غروهي"/>
        <filter val="خلاط ايديال إيطالي"/>
        <filter val="خلاط تواليت sr fstz400b"/>
        <filter val="خلاط تواليت sr fstz410c"/>
        <filter val="خلاط تواليت كروم 304 جداري"/>
        <filter val="خلاط تواليت مع كباسة مصري كروم"/>
        <filter val="خلاط جداري غروهي"/>
        <filter val="خلاط جداري كوستا نحاس  BITEL"/>
        <filter val="خلاط حمام ذهبي مصري"/>
        <filter val="خلاط حمام غروهي"/>
        <filter val="خلاط حمام كروم مت مع سحابة 304"/>
        <filter val="خلاط حمام كوستا نحاس BITEL"/>
        <filter val="خلاط حمام مع دوش sr fsz 310c"/>
        <filter val="خلاط حمام مع دوش sr fsz300b"/>
        <filter val="خلاط حمام مع دوش sr fsz300c"/>
        <filter val="خلاط حمام مع دوش SR SFZ320c"/>
        <filter val="خلاط دفن جداري 2401"/>
        <filter val="خلاط زمك خفيف جداري"/>
        <filter val="خلاط زمك خفيف حمام"/>
        <filter val="خلاط زمك شك انفنتي"/>
        <filter val="خلاط شك طويل sr fbz100cl"/>
        <filter val="خلاط شك قصير fbz130c"/>
        <filter val="خلاط شك قصير sr fbb100c"/>
        <filter val="خلاط شك قصير sr fbz110c"/>
        <filter val="خلاط شك قصير sr fbz140c"/>
        <filter val="خلاط شك قصير غروهي"/>
        <filter val="خلاط شك كوستا نحاس BITEL"/>
        <filter val="خلاط شك مجلى مصري ذهبي"/>
        <filter val="خلاط شك مصري كروم مجلى 200"/>
        <filter val="خلاط شك مغسلة طويل sr fbz120cl"/>
        <filter val="خلاط شك مغسلة قصير sr fbz120c"/>
        <filter val="خلاط شيف معكوف"/>
        <filter val="خلاط عالي غروهي"/>
        <filter val="خلاط كروم مت 304 شك مجلى"/>
        <filter val="خلاط كروم مت 304 شك معكوف"/>
        <filter val="خلاط مجلى  غروهي"/>
        <filter val="خلاط مجلى راصور"/>
        <filter val="خلاط مجلىsr fkz200b"/>
        <filter val="خلاط مجلىsr fkz200c"/>
        <filter val="خلاط مصري اسود حمام"/>
        <filter val="خلاط مصري اسود مجلى شك"/>
        <filter val="خلاط مصري اسود مغسلة جداري"/>
        <filter val="خلاط مصري كروم معكوف 200"/>
        <filter val="خلاط معكوف مغسلة ذهبي مصري"/>
        <filter val="خلاط مغسلة شك كروم 304"/>
        <filter val="خلاط مغسلة مصري كروم 200"/>
        <filter val="رقبة خلاط خفيف عكازة"/>
        <filter val="رقبة خلاط خفيف مد"/>
        <filter val="رقبة خلاط كروم تقيل قصيرة"/>
        <filter val="رقبة خلاط كروم كوبرا"/>
        <filter val="طبة خلاط فوتيس"/>
        <filter val="طبة خلاط كوستا"/>
        <filter val="طبة خلاط موديل"/>
        <filter val="طقم شك اسود تركي خلاط mhb"/>
        <filter val="طقم شك ذهبي تركي  خلاط mhb"/>
        <filter val="طقم شك كروم تركي خلاط mhb"/>
        <filter val="عزقة خلاط شك 1 نحاس"/>
        <filter val="عزقة خلاط شك 1/2 نحاس"/>
        <filter val="عزقة خلاط شك 3/4 نحاس"/>
        <filter val="قلب خلاط فوتيس"/>
      </filters>
    </filterColumn>
  </autoFilter>
  <sortState xmlns:xlrd2="http://schemas.microsoft.com/office/spreadsheetml/2017/richdata2" ref="B4:F386">
    <sortCondition ref="B3:B386"/>
  </sortState>
  <tableColumns count="5">
    <tableColumn id="1" xr3:uid="{00000000-0010-0000-0000-000001000000}" name="الوصف" totalsRowLabel="الإجمالي" dataDxfId="288"/>
    <tableColumn id="3" xr3:uid="{00000000-0010-0000-0000-000003000000}" name="الكود" dataDxfId="287" totalsRowDxfId="286"/>
    <tableColumn id="7" xr3:uid="{00000000-0010-0000-0000-000007000000}" name="تاريخ الدخول" dataDxfId="285"/>
    <tableColumn id="11" xr3:uid="{48992E5D-8259-47B9-B0BE-0077173FB4C7}" name="الكمية" dataDxfId="284"/>
    <tableColumn id="2" xr3:uid="{6D0E5A7C-855F-48E8-9BEE-174880C1AB67}" name=" الصادر " dataDxfId="283" totalsRowDxfId="282"/>
  </tableColumns>
  <tableStyleInfo name="جدول الأعمال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7E3ACC-3137-414C-B213-49CE051D1A7F}" name="الجدول2" displayName="الجدول2" ref="G3:G372" totalsRowShown="0" headerRowDxfId="281" dataDxfId="279" headerRowBorderDxfId="280" tableBorderDxfId="278">
  <autoFilter ref="G3:G372" xr:uid="{DC7E3ACC-3137-414C-B213-49CE051D1A7F}"/>
  <tableColumns count="1">
    <tableColumn id="2" xr3:uid="{DD528732-A384-4419-8C23-89A35E006EA6}" name="المتبقي" dataDxfId="277">
      <calculatedColumnFormula>Inventory_List_Table[[#This Row],[الكمية]]-Inventory_List_Table[[#This Row],[ الصادر ]]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63B4A3-CBE0-48C5-8185-3192B2F74228}" name="الجدول3" displayName="الجدول3" ref="A3:A323" totalsRowShown="0" headerRowDxfId="276" dataDxfId="274" headerRowBorderDxfId="275" tableBorderDxfId="273">
  <autoFilter ref="A3:A323" xr:uid="{F263B4A3-CBE0-48C5-8185-3192B2F74228}"/>
  <sortState xmlns:xlrd2="http://schemas.microsoft.com/office/spreadsheetml/2017/richdata2" ref="A4:A323">
    <sortCondition ref="A3:A323"/>
  </sortState>
  <tableColumns count="1">
    <tableColumn id="1" xr3:uid="{2025E0EA-9CDE-4877-8B87-4D1262DD036A}" name="الرقم" dataDxfId="272"/>
  </tableColumns>
  <tableStyleInfo name="جدول الأعمال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4EDCC62-0825-4BC0-9B24-E66ED8E590C6}" name="الجدول211" displayName="الجدول211" ref="H3:H372" totalsRowShown="0" headerRowDxfId="271" dataDxfId="269" headerRowBorderDxfId="270" tableBorderDxfId="268">
  <autoFilter ref="H3:H372" xr:uid="{B4EDCC62-0825-4BC0-9B24-E66ED8E590C6}"/>
  <tableColumns count="1">
    <tableColumn id="2" xr3:uid="{B382A301-677E-4975-8369-FC42D9560A8B}" name="ملاحظة " dataDxfId="267">
      <calculatedColumnFormula>Inventory_List_Table[[#This Row],[الكمية]]-Inventory_List_Table[[#This Row],[ الصادر ]]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113EB6-2880-4F0A-A337-95DFDA66A7D0}" name="Inventory_List_Table5" displayName="Inventory_List_Table5" ref="B3:G369" headerRowDxfId="266" dataDxfId="264" totalsRowDxfId="263" headerRowBorderDxfId="265">
  <autoFilter ref="B3:G369" xr:uid="{00000000-0009-0000-0100-000001000000}"/>
  <sortState xmlns:xlrd2="http://schemas.microsoft.com/office/spreadsheetml/2017/richdata2" ref="B4:G277">
    <sortCondition ref="B3:B369"/>
  </sortState>
  <tableColumns count="6">
    <tableColumn id="1" xr3:uid="{3CF0C982-8898-4A22-848A-DD06B9B3B0A4}" name="الوصف" totalsRowLabel="الإجمالي" dataDxfId="262"/>
    <tableColumn id="3" xr3:uid="{91B8DB29-CFAE-467D-8446-0F4DCB563F22}" name="الوحدة" dataDxfId="261" totalsRowDxfId="260"/>
    <tableColumn id="4" xr3:uid="{63801B18-F836-42A3-B676-B53748B6A122}" name="تاريخ التصدير" dataDxfId="259" totalsRowDxfId="258"/>
    <tableColumn id="7" xr3:uid="{D6963583-E4C0-4E5E-8A0B-974DD347244B}" name="سحب أيوب " dataDxfId="257"/>
    <tableColumn id="11" xr3:uid="{85CE7971-8222-48A0-BE79-B580FED8CE78}" name="التكلفة" dataDxfId="256"/>
    <tableColumn id="12" xr3:uid="{B3405AE0-4872-49C5-BB27-5CE70558EFB4}" name="تكلفة الكمية " dataDxfId="255" totalsRowDxfId="254">
      <calculatedColumnFormula>Inventory_List_Table5[[#This Row],[سحب أيوب ]]*Inventory_List_Table5[[#This Row],[التكلفة]]</calculatedColumnFormula>
    </tableColumn>
  </tableColumns>
  <tableStyleInfo name="جدول الأعمال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1C381C-7FB0-41D8-805A-63ADB3C1BD7E}" name="الجدول26" displayName="الجدول26" ref="H3:H328" totalsRowShown="0" headerRowDxfId="253" dataDxfId="251" headerRowBorderDxfId="252" tableBorderDxfId="250">
  <autoFilter ref="H3:H328" xr:uid="{DC7E3ACC-3137-414C-B213-49CE051D1A7F}"/>
  <tableColumns count="1">
    <tableColumn id="2" xr3:uid="{DF2E2ED6-12BC-456B-ADAE-FAE343C235E2}" name="الملاحظات" dataDxfId="249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438B90-90EC-49D3-A254-8E3800FCDAD8}" name="الجدول37" displayName="الجدول37" ref="A3:A318" totalsRowShown="0" headerRowDxfId="248" dataDxfId="246" headerRowBorderDxfId="247" tableBorderDxfId="245">
  <autoFilter ref="A3:A318" xr:uid="{F263B4A3-CBE0-48C5-8185-3192B2F74228}"/>
  <tableColumns count="1">
    <tableColumn id="1" xr3:uid="{4EDB846A-4B55-41EA-A1CE-5896CB6C862D}" name="الرقم" dataDxfId="244"/>
  </tableColumns>
  <tableStyleInfo name="جدول الأعمال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88BAAB-B991-4D6B-B98D-9FE18F48BEB9}" name="Inventory_List_Table58" displayName="Inventory_List_Table58" ref="B3:H371" headerRowDxfId="243" dataDxfId="241" totalsRowDxfId="240" headerRowBorderDxfId="242">
  <autoFilter ref="B3:H371" xr:uid="{00000000-0009-0000-0100-000001000000}">
    <filterColumn colId="0">
      <filters>
        <filter val="هراب مع صباب"/>
        <filter val="هراب مع نقاصة سوبر"/>
        <filter val="هراب معغسلة wl رمادي قمع"/>
      </filters>
    </filterColumn>
  </autoFilter>
  <sortState xmlns:xlrd2="http://schemas.microsoft.com/office/spreadsheetml/2017/richdata2" ref="B4:H277">
    <sortCondition ref="B3:B369"/>
  </sortState>
  <tableColumns count="7">
    <tableColumn id="1" xr3:uid="{4230B832-C48A-489E-A473-F5993BB10647}" name="الوصف" totalsRowLabel="الإجمالي" dataDxfId="239"/>
    <tableColumn id="4" xr3:uid="{9897B237-D1F3-4288-A1CF-6D38D47AC402}" name="تاريخ التصدير" dataDxfId="238" totalsRowDxfId="237"/>
    <tableColumn id="7" xr3:uid="{EFBBA9E8-0BCC-4D31-B10C-3493FA2DE2CF}" name="الكمية" dataDxfId="236"/>
    <tableColumn id="2" xr3:uid="{22B7D197-A033-4964-AB01-4DCB19F5084B}" name="الصادر" dataDxfId="235"/>
    <tableColumn id="5" xr3:uid="{F38E9B35-1710-4088-9C42-BEFB7160582A}" name="المتبقي مخزون" dataDxfId="234">
      <calculatedColumnFormula>Inventory_List_Table58[[#This Row],[الكمية]]-Inventory_List_Table58[[#This Row],[الصادر]]</calculatedColumnFormula>
    </tableColumn>
    <tableColumn id="11" xr3:uid="{E2161F14-74A7-41E2-8CA8-A83A517406B8}" name="التكلفة" dataDxfId="233"/>
    <tableColumn id="12" xr3:uid="{58F1054F-5943-4656-9644-AA7BD3D568F5}" name="تكلفة الكمية " dataDxfId="232" totalsRowDxfId="231">
      <calculatedColumnFormula>[1]!الجدول2[[#This Row],[التكلفة]]*[1]!الجدول2[[#This Row],[سحب أيوب ]]</calculatedColumnFormula>
    </tableColumn>
  </tableColumns>
  <tableStyleInfo name="جدول الأعمال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969F99-7665-4F21-9180-17161FAA1BEE}" name="الجدول269" displayName="الجدول269" ref="I3:I328" totalsRowShown="0" headerRowDxfId="230" dataDxfId="228" headerRowBorderDxfId="229" tableBorderDxfId="227">
  <autoFilter ref="I3:I328" xr:uid="{DC7E3ACC-3137-414C-B213-49CE051D1A7F}"/>
  <tableColumns count="1">
    <tableColumn id="2" xr3:uid="{7D16347F-F79B-4F22-8D18-927D2273F084}" name="الملاحظات" dataDxfId="226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F10A074-A597-4E1F-A676-CB7A83610B2D}" name="الجدول3710" displayName="الجدول3710" ref="A3:A318" totalsRowShown="0" headerRowDxfId="225" dataDxfId="223" headerRowBorderDxfId="224" tableBorderDxfId="222">
  <autoFilter ref="A3:A318" xr:uid="{F263B4A3-CBE0-48C5-8185-3192B2F74228}"/>
  <tableColumns count="1">
    <tableColumn id="1" xr3:uid="{50F1E512-BEC5-474B-B758-56CB902D1E49}" name="الرقم" dataDxfId="221"/>
  </tableColumns>
  <tableStyleInfo name="جدول الأعمال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386"/>
  <sheetViews>
    <sheetView showGridLines="0" rightToLeft="1" topLeftCell="A261" zoomScale="84" zoomScaleNormal="84" workbookViewId="0">
      <selection activeCell="H89" sqref="H89"/>
    </sheetView>
  </sheetViews>
  <sheetFormatPr defaultColWidth="8.59765625" defaultRowHeight="24" customHeight="1" thickTop="1" thickBottom="1" x14ac:dyDescent="0.35"/>
  <cols>
    <col min="1" max="1" width="7.8984375" style="45" customWidth="1"/>
    <col min="2" max="2" width="40.8984375" style="2" customWidth="1"/>
    <col min="3" max="3" width="10.3984375" style="3" customWidth="1"/>
    <col min="4" max="4" width="13.19921875" style="8" customWidth="1"/>
    <col min="5" max="5" width="11.8984375" style="11" customWidth="1"/>
    <col min="6" max="6" width="12.59765625" style="18" customWidth="1"/>
    <col min="7" max="7" width="15.69921875" style="91" customWidth="1"/>
    <col min="8" max="8" width="31.3984375" style="91" customWidth="1"/>
    <col min="9" max="16384" width="8.59765625" style="5"/>
  </cols>
  <sheetData>
    <row r="1" spans="1:8" s="4" customFormat="1" ht="116.25" customHeight="1" thickBot="1" x14ac:dyDescent="0.35">
      <c r="A1" s="196"/>
      <c r="B1" s="197"/>
      <c r="C1" s="1"/>
      <c r="E1" s="12"/>
      <c r="F1" s="16"/>
      <c r="G1" s="89"/>
      <c r="H1" s="89"/>
    </row>
    <row r="2" spans="1:8" ht="23.25" customHeight="1" thickTop="1" thickBot="1" x14ac:dyDescent="0.35">
      <c r="A2" s="47"/>
      <c r="B2" s="9"/>
      <c r="C2" s="10"/>
      <c r="D2" s="14"/>
      <c r="E2" s="15"/>
      <c r="F2" s="17"/>
      <c r="G2" s="90"/>
      <c r="H2" s="90"/>
    </row>
    <row r="3" spans="1:8" s="2" customFormat="1" ht="50.1" customHeight="1" thickTop="1" thickBot="1" x14ac:dyDescent="0.45">
      <c r="A3" s="49" t="s">
        <v>262</v>
      </c>
      <c r="B3" s="19" t="s">
        <v>0</v>
      </c>
      <c r="C3" s="19" t="s">
        <v>517</v>
      </c>
      <c r="D3" s="20" t="s">
        <v>516</v>
      </c>
      <c r="E3" s="21" t="s">
        <v>4</v>
      </c>
      <c r="F3" s="56" t="s">
        <v>518</v>
      </c>
      <c r="G3" s="92" t="s">
        <v>582</v>
      </c>
      <c r="H3" s="92" t="s">
        <v>691</v>
      </c>
    </row>
    <row r="4" spans="1:8" ht="24" hidden="1" customHeight="1" thickTop="1" thickBot="1" x14ac:dyDescent="0.35">
      <c r="A4" s="48">
        <v>1</v>
      </c>
      <c r="B4" s="168" t="s">
        <v>683</v>
      </c>
      <c r="C4" s="181"/>
      <c r="D4" s="57">
        <v>46231</v>
      </c>
      <c r="E4" s="182">
        <v>20</v>
      </c>
      <c r="F4" s="98">
        <f ca="1">Inventory_List_Table[[#This Row],[الكمية]]-Inventory_List_Table[[#This Row],[ الصادر ]]</f>
        <v>0</v>
      </c>
      <c r="G4" s="98">
        <f ca="1">Inventory_List_Table[[#This Row],[الكمية]]-Inventory_List_Table[[#This Row],[ الصادر ]]</f>
        <v>1</v>
      </c>
      <c r="H4" s="98"/>
    </row>
    <row r="5" spans="1:8" ht="24" hidden="1" customHeight="1" thickTop="1" thickBot="1" x14ac:dyDescent="0.35">
      <c r="A5" s="46">
        <v>2</v>
      </c>
      <c r="B5" s="58" t="s">
        <v>275</v>
      </c>
      <c r="C5" s="58"/>
      <c r="D5" s="59">
        <v>46219</v>
      </c>
      <c r="E5" s="97">
        <v>1</v>
      </c>
      <c r="F5" s="114"/>
      <c r="G5" s="99">
        <f>Inventory_List_Table[[#This Row],[الكمية]]-Inventory_List_Table[[#This Row],[ الصادر ]]</f>
        <v>1</v>
      </c>
      <c r="H5" s="99"/>
    </row>
    <row r="6" spans="1:8" ht="24" hidden="1" customHeight="1" thickTop="1" thickBot="1" x14ac:dyDescent="0.35">
      <c r="A6" s="46">
        <v>3</v>
      </c>
      <c r="B6" s="58" t="s">
        <v>276</v>
      </c>
      <c r="C6" s="58"/>
      <c r="D6" s="59">
        <v>46219</v>
      </c>
      <c r="E6" s="96">
        <v>1</v>
      </c>
      <c r="F6" s="114"/>
      <c r="G6" s="99">
        <f>Inventory_List_Table[[#This Row],[الكمية]]-Inventory_List_Table[[#This Row],[ الصادر ]]</f>
        <v>1</v>
      </c>
      <c r="H6" s="99"/>
    </row>
    <row r="7" spans="1:8" ht="24" hidden="1" customHeight="1" thickTop="1" thickBot="1" x14ac:dyDescent="0.35">
      <c r="A7" s="46">
        <v>4</v>
      </c>
      <c r="B7" s="58" t="s">
        <v>87</v>
      </c>
      <c r="C7" s="58"/>
      <c r="D7" s="59">
        <v>46219</v>
      </c>
      <c r="E7" s="96">
        <v>1</v>
      </c>
      <c r="F7" s="114"/>
      <c r="G7" s="99">
        <f>Inventory_List_Table[[#This Row],[الكمية]]-Inventory_List_Table[[#This Row],[ الصادر ]]</f>
        <v>1</v>
      </c>
      <c r="H7" s="99"/>
    </row>
    <row r="8" spans="1:8" ht="24" hidden="1" customHeight="1" thickTop="1" thickBot="1" x14ac:dyDescent="0.35">
      <c r="A8" s="46">
        <v>5</v>
      </c>
      <c r="B8" s="58" t="s">
        <v>88</v>
      </c>
      <c r="C8" s="58"/>
      <c r="D8" s="59">
        <v>46219</v>
      </c>
      <c r="E8" s="97">
        <v>1</v>
      </c>
      <c r="F8" s="114"/>
      <c r="G8" s="99">
        <f>Inventory_List_Table[[#This Row],[الكمية]]-Inventory_List_Table[[#This Row],[ الصادر ]]</f>
        <v>1</v>
      </c>
      <c r="H8" s="99"/>
    </row>
    <row r="9" spans="1:8" ht="24" customHeight="1" thickTop="1" thickBot="1" x14ac:dyDescent="0.35">
      <c r="A9" s="46">
        <v>6</v>
      </c>
      <c r="B9" s="58" t="s">
        <v>89</v>
      </c>
      <c r="C9" s="58" t="s">
        <v>277</v>
      </c>
      <c r="D9" s="59">
        <v>46230</v>
      </c>
      <c r="E9" s="96">
        <v>2</v>
      </c>
      <c r="F9" s="114">
        <v>1</v>
      </c>
      <c r="G9" s="99">
        <f>Inventory_List_Table[[#This Row],[الكمية]]-Inventory_List_Table[[#This Row],[ الصادر ]]</f>
        <v>1</v>
      </c>
      <c r="H9" s="99"/>
    </row>
    <row r="10" spans="1:8" ht="24" customHeight="1" thickTop="1" thickBot="1" x14ac:dyDescent="0.35">
      <c r="A10" s="46">
        <v>7</v>
      </c>
      <c r="B10" s="93" t="s">
        <v>90</v>
      </c>
      <c r="C10" s="58" t="s">
        <v>278</v>
      </c>
      <c r="D10" s="59">
        <v>46230</v>
      </c>
      <c r="E10" s="97">
        <v>5</v>
      </c>
      <c r="F10" s="114">
        <v>4</v>
      </c>
      <c r="G10" s="99">
        <f>Inventory_List_Table[[#This Row],[الكمية]]-Inventory_List_Table[[#This Row],[ الصادر ]]</f>
        <v>1</v>
      </c>
      <c r="H10" s="99"/>
    </row>
    <row r="11" spans="1:8" ht="24" hidden="1" customHeight="1" thickTop="1" thickBot="1" x14ac:dyDescent="0.35">
      <c r="A11" s="46">
        <v>8</v>
      </c>
      <c r="B11" s="103" t="s">
        <v>598</v>
      </c>
      <c r="C11" s="95" t="s">
        <v>399</v>
      </c>
      <c r="D11" s="95"/>
      <c r="E11" s="96">
        <v>1</v>
      </c>
      <c r="F11" s="115"/>
      <c r="G11" s="99">
        <f>Inventory_List_Table[[#This Row],[الكمية]]-Inventory_List_Table[[#This Row],[ الصادر ]]</f>
        <v>1</v>
      </c>
      <c r="H11" s="99"/>
    </row>
    <row r="12" spans="1:8" ht="24" hidden="1" customHeight="1" thickTop="1" thickBot="1" x14ac:dyDescent="0.35">
      <c r="A12" s="46">
        <v>9</v>
      </c>
      <c r="B12" s="118" t="s">
        <v>599</v>
      </c>
      <c r="C12" s="102" t="s">
        <v>400</v>
      </c>
      <c r="D12" s="101"/>
      <c r="E12" s="96">
        <v>1</v>
      </c>
      <c r="F12" s="115"/>
      <c r="G12" s="99">
        <v>2</v>
      </c>
      <c r="H12" s="99"/>
    </row>
    <row r="13" spans="1:8" ht="24" hidden="1" customHeight="1" thickTop="1" thickBot="1" x14ac:dyDescent="0.35">
      <c r="A13" s="46">
        <v>10</v>
      </c>
      <c r="B13" s="58" t="s">
        <v>91</v>
      </c>
      <c r="C13" s="58"/>
      <c r="D13" s="59">
        <v>46219</v>
      </c>
      <c r="E13" s="97">
        <v>1</v>
      </c>
      <c r="F13" s="114"/>
      <c r="G13" s="99">
        <f>Inventory_List_Table[[#This Row],[الكمية]]-Inventory_List_Table[[#This Row],[ الصادر ]]</f>
        <v>1</v>
      </c>
      <c r="H13" s="99"/>
    </row>
    <row r="14" spans="1:8" ht="24" hidden="1" customHeight="1" thickTop="1" thickBot="1" x14ac:dyDescent="0.35">
      <c r="A14" s="46">
        <v>11</v>
      </c>
      <c r="B14" s="58" t="s">
        <v>92</v>
      </c>
      <c r="C14" s="58" t="s">
        <v>279</v>
      </c>
      <c r="D14" s="59">
        <v>46218</v>
      </c>
      <c r="E14" s="96">
        <v>4</v>
      </c>
      <c r="F14" s="114">
        <v>2</v>
      </c>
      <c r="G14" s="99">
        <f>Inventory_List_Table[[#This Row],[الكمية]]-Inventory_List_Table[[#This Row],[ الصادر ]]</f>
        <v>2</v>
      </c>
      <c r="H14" s="99"/>
    </row>
    <row r="15" spans="1:8" ht="24" hidden="1" customHeight="1" thickTop="1" thickBot="1" x14ac:dyDescent="0.35">
      <c r="A15" s="46">
        <v>12</v>
      </c>
      <c r="B15" s="58" t="s">
        <v>93</v>
      </c>
      <c r="C15" s="58" t="s">
        <v>280</v>
      </c>
      <c r="D15" s="59">
        <v>46218</v>
      </c>
      <c r="E15" s="97">
        <v>4</v>
      </c>
      <c r="F15" s="114">
        <v>2</v>
      </c>
      <c r="G15" s="99">
        <f>Inventory_List_Table[[#This Row],[الكمية]]-Inventory_List_Table[[#This Row],[ الصادر ]]</f>
        <v>2</v>
      </c>
      <c r="H15" s="99"/>
    </row>
    <row r="16" spans="1:8" ht="24" hidden="1" customHeight="1" thickTop="1" thickBot="1" x14ac:dyDescent="0.35">
      <c r="A16" s="46">
        <v>13</v>
      </c>
      <c r="B16" s="58" t="s">
        <v>94</v>
      </c>
      <c r="C16" s="58"/>
      <c r="D16" s="59">
        <v>46217</v>
      </c>
      <c r="E16" s="96">
        <v>6</v>
      </c>
      <c r="F16" s="114">
        <v>2</v>
      </c>
      <c r="G16" s="99">
        <f>Inventory_List_Table[[#This Row],[الكمية]]-Inventory_List_Table[[#This Row],[ الصادر ]]</f>
        <v>4</v>
      </c>
      <c r="H16" s="99"/>
    </row>
    <row r="17" spans="1:8" ht="24" hidden="1" customHeight="1" thickTop="1" thickBot="1" x14ac:dyDescent="0.35">
      <c r="A17" s="46">
        <v>14</v>
      </c>
      <c r="B17" s="58" t="s">
        <v>95</v>
      </c>
      <c r="C17" s="58"/>
      <c r="D17" s="59">
        <v>46217</v>
      </c>
      <c r="E17" s="97">
        <v>16</v>
      </c>
      <c r="F17" s="114">
        <v>3</v>
      </c>
      <c r="G17" s="99">
        <f>Inventory_List_Table[[#This Row],[الكمية]]-Inventory_List_Table[[#This Row],[ الصادر ]]</f>
        <v>13</v>
      </c>
      <c r="H17" s="99"/>
    </row>
    <row r="18" spans="1:8" ht="24" hidden="1" customHeight="1" thickTop="1" thickBot="1" x14ac:dyDescent="0.35">
      <c r="A18" s="46">
        <v>15</v>
      </c>
      <c r="B18" s="58" t="s">
        <v>96</v>
      </c>
      <c r="C18" s="58"/>
      <c r="D18" s="59">
        <v>46217</v>
      </c>
      <c r="E18" s="96">
        <v>16</v>
      </c>
      <c r="F18" s="114">
        <v>2</v>
      </c>
      <c r="G18" s="99">
        <f>Inventory_List_Table[[#This Row],[الكمية]]-Inventory_List_Table[[#This Row],[ الصادر ]]</f>
        <v>14</v>
      </c>
      <c r="H18" s="99"/>
    </row>
    <row r="19" spans="1:8" ht="24" hidden="1" customHeight="1" thickTop="1" thickBot="1" x14ac:dyDescent="0.35">
      <c r="A19" s="46">
        <v>16</v>
      </c>
      <c r="B19" s="63" t="s">
        <v>270</v>
      </c>
      <c r="C19" s="63"/>
      <c r="D19" s="59">
        <v>46219</v>
      </c>
      <c r="E19" s="96">
        <v>24</v>
      </c>
      <c r="F19" s="114">
        <v>0</v>
      </c>
      <c r="G19" s="99">
        <f>Inventory_List_Table[[#This Row],[الكمية]]-Inventory_List_Table[[#This Row],[ الصادر ]]</f>
        <v>24</v>
      </c>
      <c r="H19" s="99"/>
    </row>
    <row r="20" spans="1:8" ht="24" hidden="1" customHeight="1" thickTop="1" thickBot="1" x14ac:dyDescent="0.35">
      <c r="A20" s="46">
        <v>17</v>
      </c>
      <c r="B20" s="63" t="s">
        <v>97</v>
      </c>
      <c r="C20" s="63"/>
      <c r="D20" s="59">
        <v>46219</v>
      </c>
      <c r="E20" s="97">
        <v>57</v>
      </c>
      <c r="F20" s="114">
        <v>1</v>
      </c>
      <c r="G20" s="99">
        <f>Inventory_List_Table[[#This Row],[الكمية]]-Inventory_List_Table[[#This Row],[ الصادر ]]</f>
        <v>56</v>
      </c>
      <c r="H20" s="99"/>
    </row>
    <row r="21" spans="1:8" ht="27.75" hidden="1" customHeight="1" thickTop="1" thickBot="1" x14ac:dyDescent="0.35">
      <c r="A21" s="46">
        <v>18</v>
      </c>
      <c r="B21" s="63" t="s">
        <v>98</v>
      </c>
      <c r="C21" s="63"/>
      <c r="D21" s="59">
        <v>46219</v>
      </c>
      <c r="E21" s="97">
        <v>25</v>
      </c>
      <c r="F21" s="114"/>
      <c r="G21" s="99">
        <f>Inventory_List_Table[[#This Row],[الكمية]]-Inventory_List_Table[[#This Row],[ الصادر ]]</f>
        <v>25</v>
      </c>
      <c r="H21" s="99"/>
    </row>
    <row r="22" spans="1:8" ht="27.75" hidden="1" customHeight="1" thickTop="1" thickBot="1" x14ac:dyDescent="0.35">
      <c r="A22" s="46">
        <v>19</v>
      </c>
      <c r="B22" s="58" t="s">
        <v>263</v>
      </c>
      <c r="C22" s="58"/>
      <c r="D22" s="59">
        <v>46219</v>
      </c>
      <c r="E22" s="96">
        <v>10</v>
      </c>
      <c r="F22" s="114">
        <v>1</v>
      </c>
      <c r="G22" s="99">
        <f>Inventory_List_Table[[#This Row],[الكمية]]-Inventory_List_Table[[#This Row],[ الصادر ]]</f>
        <v>9</v>
      </c>
      <c r="H22" s="99"/>
    </row>
    <row r="23" spans="1:8" ht="24" hidden="1" customHeight="1" thickTop="1" thickBot="1" x14ac:dyDescent="0.35">
      <c r="A23" s="46">
        <v>20</v>
      </c>
      <c r="B23" s="58" t="s">
        <v>281</v>
      </c>
      <c r="C23" s="58"/>
      <c r="D23" s="59">
        <v>46219</v>
      </c>
      <c r="E23" s="96">
        <v>10</v>
      </c>
      <c r="F23" s="114"/>
      <c r="G23" s="99">
        <f>Inventory_List_Table[[#This Row],[الكمية]]-Inventory_List_Table[[#This Row],[ الصادر ]]</f>
        <v>10</v>
      </c>
      <c r="H23" s="99"/>
    </row>
    <row r="24" spans="1:8" ht="24" hidden="1" customHeight="1" thickTop="1" thickBot="1" x14ac:dyDescent="0.35">
      <c r="A24" s="46">
        <v>21</v>
      </c>
      <c r="B24" s="58" t="s">
        <v>16</v>
      </c>
      <c r="C24" s="58"/>
      <c r="D24" s="59">
        <v>46219</v>
      </c>
      <c r="E24" s="96">
        <v>5</v>
      </c>
      <c r="F24" s="114">
        <v>1</v>
      </c>
      <c r="G24" s="99">
        <f>Inventory_List_Table[[#This Row],[الكمية]]-Inventory_List_Table[[#This Row],[ الصادر ]]</f>
        <v>4</v>
      </c>
      <c r="H24" s="99"/>
    </row>
    <row r="25" spans="1:8" ht="24" hidden="1" customHeight="1" thickTop="1" thickBot="1" x14ac:dyDescent="0.35">
      <c r="A25" s="46">
        <v>22</v>
      </c>
      <c r="B25" s="118" t="s">
        <v>617</v>
      </c>
      <c r="C25" s="102"/>
      <c r="D25" s="104">
        <v>46228</v>
      </c>
      <c r="E25" s="96">
        <v>3</v>
      </c>
      <c r="F25" s="114">
        <v>2</v>
      </c>
      <c r="G25" s="99">
        <f>Inventory_List_Table[[#This Row],[الكمية]]-Inventory_List_Table[[#This Row],[ الصادر ]]</f>
        <v>1</v>
      </c>
      <c r="H25" s="99"/>
    </row>
    <row r="26" spans="1:8" ht="24" hidden="1" customHeight="1" thickTop="1" thickBot="1" x14ac:dyDescent="0.35">
      <c r="A26" s="46">
        <v>24</v>
      </c>
      <c r="B26" s="53" t="s">
        <v>711</v>
      </c>
      <c r="C26" s="113"/>
      <c r="D26" s="123">
        <v>46231</v>
      </c>
      <c r="E26" s="124">
        <v>112</v>
      </c>
      <c r="F26" s="181"/>
      <c r="G26" s="99">
        <f>Inventory_List_Table[[#This Row],[الكمية]]-Inventory_List_Table[[#This Row],[ الصادر ]]</f>
        <v>112</v>
      </c>
      <c r="H26" s="99"/>
    </row>
    <row r="27" spans="1:8" ht="24" hidden="1" customHeight="1" thickTop="1" thickBot="1" x14ac:dyDescent="0.35">
      <c r="A27" s="46">
        <v>25</v>
      </c>
      <c r="B27" s="58" t="s">
        <v>99</v>
      </c>
      <c r="C27" s="58"/>
      <c r="D27" s="59">
        <v>46217</v>
      </c>
      <c r="E27" s="96">
        <v>3</v>
      </c>
      <c r="F27" s="114"/>
      <c r="G27" s="99">
        <f>Inventory_List_Table[[#This Row],[الكمية]]-Inventory_List_Table[[#This Row],[ الصادر ]]</f>
        <v>3</v>
      </c>
      <c r="H27" s="99"/>
    </row>
    <row r="28" spans="1:8" ht="24" hidden="1" customHeight="1" thickTop="1" thickBot="1" x14ac:dyDescent="0.35">
      <c r="A28" s="46">
        <v>26</v>
      </c>
      <c r="B28" s="53" t="s">
        <v>710</v>
      </c>
      <c r="C28" s="113"/>
      <c r="D28" s="123">
        <v>46231</v>
      </c>
      <c r="E28" s="124">
        <v>90</v>
      </c>
      <c r="F28" s="181"/>
      <c r="G28" s="99">
        <f>Inventory_List_Table[[#This Row],[الكمية]]-Inventory_List_Table[[#This Row],[ الصادر ]]</f>
        <v>90</v>
      </c>
      <c r="H28" s="99"/>
    </row>
    <row r="29" spans="1:8" ht="24" hidden="1" customHeight="1" thickTop="1" thickBot="1" x14ac:dyDescent="0.35">
      <c r="A29" s="46">
        <v>27</v>
      </c>
      <c r="B29" s="53" t="s">
        <v>698</v>
      </c>
      <c r="C29" s="113"/>
      <c r="D29" s="123">
        <v>46231</v>
      </c>
      <c r="E29" s="124">
        <v>100</v>
      </c>
      <c r="F29" s="181"/>
      <c r="G29" s="99">
        <f>Inventory_List_Table[[#This Row],[الكمية]]-Inventory_List_Table[[#This Row],[ الصادر ]]</f>
        <v>100</v>
      </c>
      <c r="H29" s="99"/>
    </row>
    <row r="30" spans="1:8" ht="24" hidden="1" customHeight="1" thickTop="1" thickBot="1" x14ac:dyDescent="0.35">
      <c r="A30" s="46">
        <v>28</v>
      </c>
      <c r="B30" s="118" t="s">
        <v>678</v>
      </c>
      <c r="C30" s="105" t="s">
        <v>622</v>
      </c>
      <c r="D30" s="104">
        <v>46231</v>
      </c>
      <c r="E30" s="96">
        <v>60</v>
      </c>
      <c r="F30" s="114">
        <v>6</v>
      </c>
      <c r="G30" s="99">
        <f>Inventory_List_Table[[#This Row],[الكمية]]-Inventory_List_Table[[#This Row],[ الصادر ]]</f>
        <v>54</v>
      </c>
      <c r="H30" s="99"/>
    </row>
    <row r="31" spans="1:8" ht="24" hidden="1" customHeight="1" thickTop="1" thickBot="1" x14ac:dyDescent="0.35">
      <c r="A31" s="46">
        <v>29</v>
      </c>
      <c r="B31" s="58" t="s">
        <v>101</v>
      </c>
      <c r="C31" s="58" t="s">
        <v>282</v>
      </c>
      <c r="D31" s="59">
        <v>46217</v>
      </c>
      <c r="E31" s="97">
        <v>2</v>
      </c>
      <c r="F31" s="114"/>
      <c r="G31" s="99">
        <f>Inventory_List_Table[[#This Row],[الكمية]]-Inventory_List_Table[[#This Row],[ الصادر ]]</f>
        <v>2</v>
      </c>
      <c r="H31" s="99"/>
    </row>
    <row r="32" spans="1:8" ht="24" hidden="1" customHeight="1" thickTop="1" thickBot="1" x14ac:dyDescent="0.35">
      <c r="A32" s="46">
        <v>30</v>
      </c>
      <c r="B32" s="58" t="s">
        <v>283</v>
      </c>
      <c r="C32" s="58" t="s">
        <v>284</v>
      </c>
      <c r="D32" s="59">
        <v>46217</v>
      </c>
      <c r="E32" s="96">
        <v>2</v>
      </c>
      <c r="F32" s="114"/>
      <c r="G32" s="99">
        <f>Inventory_List_Table[[#This Row],[الكمية]]-Inventory_List_Table[[#This Row],[ الصادر ]]</f>
        <v>2</v>
      </c>
      <c r="H32" s="99"/>
    </row>
    <row r="33" spans="1:8" ht="24" hidden="1" customHeight="1" thickTop="1" thickBot="1" x14ac:dyDescent="0.35">
      <c r="A33" s="46">
        <v>31</v>
      </c>
      <c r="B33" s="53" t="s">
        <v>693</v>
      </c>
      <c r="C33" s="113"/>
      <c r="D33" s="123">
        <v>46231</v>
      </c>
      <c r="E33" s="124">
        <v>100</v>
      </c>
      <c r="F33" s="181"/>
      <c r="G33" s="99">
        <f>Inventory_List_Table[[#This Row],[الكمية]]-Inventory_List_Table[[#This Row],[ الصادر ]]</f>
        <v>100</v>
      </c>
      <c r="H33" s="99"/>
    </row>
    <row r="34" spans="1:8" ht="24" hidden="1" customHeight="1" thickTop="1" thickBot="1" x14ac:dyDescent="0.35">
      <c r="A34" s="46">
        <v>32</v>
      </c>
      <c r="B34" s="58" t="s">
        <v>102</v>
      </c>
      <c r="C34" s="58" t="s">
        <v>285</v>
      </c>
      <c r="D34" s="59">
        <v>46218</v>
      </c>
      <c r="E34" s="97">
        <v>1</v>
      </c>
      <c r="F34" s="114"/>
      <c r="G34" s="99">
        <f>Inventory_List_Table[[#This Row],[الكمية]]-Inventory_List_Table[[#This Row],[ الصادر ]]</f>
        <v>1</v>
      </c>
      <c r="H34" s="99"/>
    </row>
    <row r="35" spans="1:8" ht="24" hidden="1" customHeight="1" thickTop="1" thickBot="1" x14ac:dyDescent="0.35">
      <c r="A35" s="46">
        <v>33</v>
      </c>
      <c r="B35" s="63" t="s">
        <v>286</v>
      </c>
      <c r="C35" s="63" t="s">
        <v>287</v>
      </c>
      <c r="D35" s="59">
        <v>46223</v>
      </c>
      <c r="E35" s="96">
        <v>4</v>
      </c>
      <c r="F35" s="114"/>
      <c r="G35" s="99">
        <f>Inventory_List_Table[[#This Row],[الكمية]]-Inventory_List_Table[[#This Row],[ الصادر ]]</f>
        <v>4</v>
      </c>
      <c r="H35" s="99"/>
    </row>
    <row r="36" spans="1:8" ht="24" hidden="1" customHeight="1" thickTop="1" thickBot="1" x14ac:dyDescent="0.35">
      <c r="A36" s="46">
        <v>34</v>
      </c>
      <c r="B36" s="58" t="s">
        <v>103</v>
      </c>
      <c r="C36" s="58" t="s">
        <v>288</v>
      </c>
      <c r="D36" s="59">
        <v>46218</v>
      </c>
      <c r="E36" s="97">
        <v>1</v>
      </c>
      <c r="F36" s="114"/>
      <c r="G36" s="99">
        <f>Inventory_List_Table[[#This Row],[الكمية]]-Inventory_List_Table[[#This Row],[ الصادر ]]</f>
        <v>1</v>
      </c>
      <c r="H36" s="99"/>
    </row>
    <row r="37" spans="1:8" ht="24" hidden="1" customHeight="1" thickTop="1" thickBot="1" x14ac:dyDescent="0.35">
      <c r="A37" s="46">
        <v>35</v>
      </c>
      <c r="B37" s="58" t="s">
        <v>104</v>
      </c>
      <c r="C37" s="58" t="s">
        <v>289</v>
      </c>
      <c r="D37" s="59">
        <v>46217</v>
      </c>
      <c r="E37" s="96">
        <v>5</v>
      </c>
      <c r="F37" s="114"/>
      <c r="G37" s="99">
        <f>Inventory_List_Table[[#This Row],[الكمية]]-Inventory_List_Table[[#This Row],[ الصادر ]]</f>
        <v>5</v>
      </c>
      <c r="H37" s="99"/>
    </row>
    <row r="38" spans="1:8" ht="24" hidden="1" customHeight="1" thickTop="1" thickBot="1" x14ac:dyDescent="0.35">
      <c r="A38" s="46">
        <v>36</v>
      </c>
      <c r="B38" s="58" t="s">
        <v>105</v>
      </c>
      <c r="C38" s="58" t="s">
        <v>290</v>
      </c>
      <c r="D38" s="59">
        <v>46218</v>
      </c>
      <c r="E38" s="96">
        <v>1</v>
      </c>
      <c r="F38" s="114"/>
      <c r="G38" s="99">
        <f>Inventory_List_Table[[#This Row],[الكمية]]-Inventory_List_Table[[#This Row],[ الصادر ]]</f>
        <v>1</v>
      </c>
      <c r="H38" s="99"/>
    </row>
    <row r="39" spans="1:8" ht="24" hidden="1" customHeight="1" thickTop="1" thickBot="1" x14ac:dyDescent="0.35">
      <c r="A39" s="46">
        <v>37</v>
      </c>
      <c r="B39" s="112" t="s">
        <v>672</v>
      </c>
      <c r="C39" s="113"/>
      <c r="D39" s="59">
        <v>46231</v>
      </c>
      <c r="E39" s="109">
        <v>20</v>
      </c>
      <c r="F39" s="98"/>
      <c r="G39" s="99">
        <f>Inventory_List_Table[[#This Row],[الكمية]]-Inventory_List_Table[[#This Row],[ الصادر ]]</f>
        <v>20</v>
      </c>
      <c r="H39" s="99"/>
    </row>
    <row r="40" spans="1:8" ht="24" hidden="1" customHeight="1" thickTop="1" thickBot="1" x14ac:dyDescent="0.35">
      <c r="A40" s="46">
        <v>38</v>
      </c>
      <c r="B40" s="58" t="s">
        <v>106</v>
      </c>
      <c r="C40" s="58" t="s">
        <v>291</v>
      </c>
      <c r="D40" s="59">
        <v>46217</v>
      </c>
      <c r="E40" s="96">
        <v>1</v>
      </c>
      <c r="F40" s="114"/>
      <c r="G40" s="99">
        <f>Inventory_List_Table[[#This Row],[الكمية]]-Inventory_List_Table[[#This Row],[ الصادر ]]</f>
        <v>1</v>
      </c>
      <c r="H40" s="99"/>
    </row>
    <row r="41" spans="1:8" ht="24" hidden="1" customHeight="1" thickTop="1" thickBot="1" x14ac:dyDescent="0.35">
      <c r="A41" s="46">
        <v>39</v>
      </c>
      <c r="B41" s="53" t="s">
        <v>740</v>
      </c>
      <c r="C41" s="27"/>
      <c r="D41" s="123">
        <v>46231</v>
      </c>
      <c r="E41" s="124">
        <v>40</v>
      </c>
      <c r="F41" s="183"/>
      <c r="G41" s="99">
        <f>Inventory_List_Table[[#This Row],[الكمية]]-Inventory_List_Table[[#This Row],[ الصادر ]]</f>
        <v>40</v>
      </c>
      <c r="H41" s="99"/>
    </row>
    <row r="42" spans="1:8" ht="24" hidden="1" customHeight="1" thickTop="1" thickBot="1" x14ac:dyDescent="0.35">
      <c r="A42" s="46">
        <v>40</v>
      </c>
      <c r="B42" s="118" t="s">
        <v>618</v>
      </c>
      <c r="C42" s="102"/>
      <c r="D42" s="104">
        <v>46228</v>
      </c>
      <c r="E42" s="96">
        <v>3</v>
      </c>
      <c r="F42" s="114">
        <v>2</v>
      </c>
      <c r="G42" s="99">
        <f>Inventory_List_Table[[#This Row],[الكمية]]-Inventory_List_Table[[#This Row],[ الصادر ]]</f>
        <v>1</v>
      </c>
      <c r="H42" s="99"/>
    </row>
    <row r="43" spans="1:8" ht="24" hidden="1" customHeight="1" thickTop="1" thickBot="1" x14ac:dyDescent="0.35">
      <c r="A43" s="46">
        <v>41</v>
      </c>
      <c r="B43" s="53" t="s">
        <v>728</v>
      </c>
      <c r="C43" s="27"/>
      <c r="D43" s="123">
        <v>46231</v>
      </c>
      <c r="E43" s="124">
        <v>20</v>
      </c>
      <c r="F43" s="183"/>
      <c r="G43" s="99">
        <f>Inventory_List_Table[[#This Row],[الكمية]]-Inventory_List_Table[[#This Row],[ الصادر ]]</f>
        <v>20</v>
      </c>
      <c r="H43" s="99"/>
    </row>
    <row r="44" spans="1:8" ht="24" hidden="1" customHeight="1" thickTop="1" thickBot="1" x14ac:dyDescent="0.35">
      <c r="A44" s="46">
        <v>42</v>
      </c>
      <c r="B44" s="53" t="s">
        <v>694</v>
      </c>
      <c r="C44" s="113"/>
      <c r="D44" s="123">
        <v>46231</v>
      </c>
      <c r="E44" s="124">
        <v>10</v>
      </c>
      <c r="F44" s="181"/>
      <c r="G44" s="99">
        <f>Inventory_List_Table[[#This Row],[الكمية]]-Inventory_List_Table[[#This Row],[ الصادر ]]</f>
        <v>10</v>
      </c>
      <c r="H44" s="99"/>
    </row>
    <row r="45" spans="1:8" ht="24" hidden="1" customHeight="1" thickTop="1" thickBot="1" x14ac:dyDescent="0.35">
      <c r="A45" s="46">
        <v>43</v>
      </c>
      <c r="B45" s="53" t="s">
        <v>716</v>
      </c>
      <c r="C45" s="113"/>
      <c r="D45" s="123">
        <v>46231</v>
      </c>
      <c r="E45" s="124">
        <v>60</v>
      </c>
      <c r="F45" s="181"/>
      <c r="G45" s="99">
        <f>Inventory_List_Table[[#This Row],[الكمية]]-Inventory_List_Table[[#This Row],[ الصادر ]]</f>
        <v>60</v>
      </c>
      <c r="H45" s="99"/>
    </row>
    <row r="46" spans="1:8" ht="24" hidden="1" customHeight="1" thickTop="1" thickBot="1" x14ac:dyDescent="0.35">
      <c r="A46" s="46">
        <v>44</v>
      </c>
      <c r="B46" s="53" t="s">
        <v>696</v>
      </c>
      <c r="C46" s="113"/>
      <c r="D46" s="123">
        <v>46231</v>
      </c>
      <c r="E46" s="124">
        <v>35</v>
      </c>
      <c r="F46" s="181"/>
      <c r="G46" s="99">
        <f>Inventory_List_Table[[#This Row],[الكمية]]-Inventory_List_Table[[#This Row],[ الصادر ]]</f>
        <v>35</v>
      </c>
      <c r="H46" s="99"/>
    </row>
    <row r="47" spans="1:8" ht="24" hidden="1" customHeight="1" thickTop="1" thickBot="1" x14ac:dyDescent="0.35">
      <c r="A47" s="46">
        <v>45</v>
      </c>
      <c r="B47" s="58" t="s">
        <v>108</v>
      </c>
      <c r="C47" s="58">
        <v>228</v>
      </c>
      <c r="D47" s="59">
        <v>46231</v>
      </c>
      <c r="E47" s="96">
        <v>60</v>
      </c>
      <c r="F47" s="114"/>
      <c r="G47" s="99">
        <f>Inventory_List_Table[[#This Row],[الكمية]]-Inventory_List_Table[[#This Row],[ الصادر ]]</f>
        <v>60</v>
      </c>
      <c r="H47" s="99"/>
    </row>
    <row r="48" spans="1:8" ht="24" hidden="1" customHeight="1" thickTop="1" thickBot="1" x14ac:dyDescent="0.35">
      <c r="A48" s="46">
        <v>46</v>
      </c>
      <c r="B48" s="93" t="s">
        <v>109</v>
      </c>
      <c r="C48" s="58" t="s">
        <v>593</v>
      </c>
      <c r="D48" s="59">
        <v>46217</v>
      </c>
      <c r="E48" s="97">
        <v>281</v>
      </c>
      <c r="F48" s="114">
        <v>14</v>
      </c>
      <c r="G48" s="99">
        <f>Inventory_List_Table[[#This Row],[الكمية]]-Inventory_List_Table[[#This Row],[ الصادر ]]</f>
        <v>267</v>
      </c>
      <c r="H48" s="99"/>
    </row>
    <row r="49" spans="1:8" ht="24" hidden="1" customHeight="1" thickTop="1" thickBot="1" x14ac:dyDescent="0.35">
      <c r="A49" s="46">
        <v>47</v>
      </c>
      <c r="B49" s="53" t="s">
        <v>721</v>
      </c>
      <c r="C49" s="27"/>
      <c r="D49" s="123">
        <v>46231</v>
      </c>
      <c r="E49" s="124">
        <v>50</v>
      </c>
      <c r="F49" s="183"/>
      <c r="G49" s="99">
        <f>Inventory_List_Table[[#This Row],[الكمية]]-Inventory_List_Table[[#This Row],[ الصادر ]]</f>
        <v>50</v>
      </c>
      <c r="H49" s="99"/>
    </row>
    <row r="50" spans="1:8" ht="24" hidden="1" customHeight="1" thickTop="1" thickBot="1" x14ac:dyDescent="0.35">
      <c r="A50" s="46">
        <v>48</v>
      </c>
      <c r="B50" s="53" t="s">
        <v>738</v>
      </c>
      <c r="C50" s="27"/>
      <c r="D50" s="123">
        <v>46231</v>
      </c>
      <c r="E50" s="124">
        <v>2</v>
      </c>
      <c r="F50" s="183"/>
      <c r="G50" s="99">
        <f>Inventory_List_Table[[#This Row],[الكمية]]-Inventory_List_Table[[#This Row],[ الصادر ]]</f>
        <v>2</v>
      </c>
      <c r="H50" s="99"/>
    </row>
    <row r="51" spans="1:8" ht="24" hidden="1" customHeight="1" thickTop="1" thickBot="1" x14ac:dyDescent="0.35">
      <c r="A51" s="46">
        <v>49</v>
      </c>
      <c r="B51" s="53" t="s">
        <v>733</v>
      </c>
      <c r="C51" s="27"/>
      <c r="D51" s="123">
        <v>46231</v>
      </c>
      <c r="E51" s="124">
        <v>6</v>
      </c>
      <c r="F51" s="183"/>
      <c r="G51" s="99">
        <f>Inventory_List_Table[[#This Row],[الكمية]]-Inventory_List_Table[[#This Row],[ الصادر ]]</f>
        <v>6</v>
      </c>
      <c r="H51" s="99"/>
    </row>
    <row r="52" spans="1:8" ht="24" hidden="1" customHeight="1" thickTop="1" thickBot="1" x14ac:dyDescent="0.35">
      <c r="A52" s="46">
        <v>50</v>
      </c>
      <c r="B52" s="93" t="s">
        <v>110</v>
      </c>
      <c r="C52" s="58" t="s">
        <v>292</v>
      </c>
      <c r="D52" s="59">
        <v>46217</v>
      </c>
      <c r="E52" s="97">
        <v>1007</v>
      </c>
      <c r="F52" s="114">
        <v>500</v>
      </c>
      <c r="G52" s="99">
        <f>Inventory_List_Table[[#This Row],[الكمية]]-Inventory_List_Table[[#This Row],[ الصادر ]]</f>
        <v>507</v>
      </c>
      <c r="H52" s="99"/>
    </row>
    <row r="53" spans="1:8" ht="24" hidden="1" customHeight="1" thickTop="1" thickBot="1" x14ac:dyDescent="0.35">
      <c r="A53" s="46">
        <v>51</v>
      </c>
      <c r="B53" s="129" t="s">
        <v>675</v>
      </c>
      <c r="C53" s="58"/>
      <c r="D53" s="59">
        <v>46219</v>
      </c>
      <c r="E53" s="96">
        <v>100</v>
      </c>
      <c r="F53" s="114">
        <v>17</v>
      </c>
      <c r="G53" s="99">
        <f>Inventory_List_Table[[#This Row],[الكمية]]-Inventory_List_Table[[#This Row],[ الصادر ]]</f>
        <v>83</v>
      </c>
      <c r="H53" s="99"/>
    </row>
    <row r="54" spans="1:8" ht="24" hidden="1" customHeight="1" thickTop="1" thickBot="1" x14ac:dyDescent="0.35">
      <c r="A54" s="46">
        <v>52</v>
      </c>
      <c r="B54" s="58" t="s">
        <v>111</v>
      </c>
      <c r="C54" s="58"/>
      <c r="D54" s="59">
        <v>46217</v>
      </c>
      <c r="E54" s="96">
        <v>50</v>
      </c>
      <c r="F54" s="114"/>
      <c r="G54" s="99">
        <f>Inventory_List_Table[[#This Row],[الكمية]]-Inventory_List_Table[[#This Row],[ الصادر ]]</f>
        <v>50</v>
      </c>
      <c r="H54" s="99"/>
    </row>
    <row r="55" spans="1:8" ht="24" hidden="1" customHeight="1" thickTop="1" thickBot="1" x14ac:dyDescent="0.35">
      <c r="A55" s="46">
        <v>53</v>
      </c>
      <c r="B55" s="53" t="s">
        <v>702</v>
      </c>
      <c r="C55" s="113"/>
      <c r="D55" s="123">
        <v>46231</v>
      </c>
      <c r="E55" s="124">
        <v>200</v>
      </c>
      <c r="F55" s="181"/>
      <c r="G55" s="99">
        <f>Inventory_List_Table[[#This Row],[الكمية]]-Inventory_List_Table[[#This Row],[ الصادر ]]</f>
        <v>200</v>
      </c>
      <c r="H55" s="99"/>
    </row>
    <row r="56" spans="1:8" ht="24" hidden="1" customHeight="1" thickTop="1" thickBot="1" x14ac:dyDescent="0.35">
      <c r="A56" s="46">
        <v>54</v>
      </c>
      <c r="B56" s="53" t="s">
        <v>701</v>
      </c>
      <c r="C56" s="113"/>
      <c r="D56" s="123">
        <v>46231</v>
      </c>
      <c r="E56" s="124">
        <v>200</v>
      </c>
      <c r="F56" s="181"/>
      <c r="G56" s="99">
        <f>Inventory_List_Table[[#This Row],[الكمية]]-Inventory_List_Table[[#This Row],[ الصادر ]]</f>
        <v>200</v>
      </c>
      <c r="H56" s="99"/>
    </row>
    <row r="57" spans="1:8" ht="24" hidden="1" customHeight="1" thickTop="1" thickBot="1" x14ac:dyDescent="0.35">
      <c r="A57" s="46">
        <v>55</v>
      </c>
      <c r="B57" s="103" t="s">
        <v>597</v>
      </c>
      <c r="C57" s="95" t="s">
        <v>596</v>
      </c>
      <c r="D57" s="95"/>
      <c r="E57" s="96">
        <v>5</v>
      </c>
      <c r="F57" s="115"/>
      <c r="G57" s="99">
        <f>Inventory_List_Table[[#This Row],[الكمية]]-Inventory_List_Table[[#This Row],[ الصادر ]]</f>
        <v>5</v>
      </c>
      <c r="H57" s="99"/>
    </row>
    <row r="58" spans="1:8" ht="24" hidden="1" customHeight="1" thickTop="1" thickBot="1" x14ac:dyDescent="0.35">
      <c r="A58" s="46">
        <v>56</v>
      </c>
      <c r="B58" s="63" t="s">
        <v>293</v>
      </c>
      <c r="C58" s="63" t="s">
        <v>294</v>
      </c>
      <c r="D58" s="59"/>
      <c r="E58" s="96">
        <v>1</v>
      </c>
      <c r="F58" s="114"/>
      <c r="G58" s="99">
        <f>Inventory_List_Table[[#This Row],[الكمية]]-Inventory_List_Table[[#This Row],[ الصادر ]]</f>
        <v>1</v>
      </c>
      <c r="H58" s="99"/>
    </row>
    <row r="59" spans="1:8" ht="24" hidden="1" customHeight="1" thickTop="1" thickBot="1" x14ac:dyDescent="0.35">
      <c r="A59" s="46">
        <v>57</v>
      </c>
      <c r="B59" s="53" t="s">
        <v>723</v>
      </c>
      <c r="C59" s="27"/>
      <c r="D59" s="123">
        <v>46231</v>
      </c>
      <c r="E59" s="124">
        <v>100</v>
      </c>
      <c r="F59" s="183"/>
      <c r="G59" s="99">
        <f>Inventory_List_Table[[#This Row],[الكمية]]-Inventory_List_Table[[#This Row],[ الصادر ]]</f>
        <v>100</v>
      </c>
      <c r="H59" s="99"/>
    </row>
    <row r="60" spans="1:8" ht="24" hidden="1" customHeight="1" thickTop="1" thickBot="1" x14ac:dyDescent="0.35">
      <c r="A60" s="46">
        <v>58</v>
      </c>
      <c r="B60" s="58" t="s">
        <v>112</v>
      </c>
      <c r="C60" s="58"/>
      <c r="D60" s="59">
        <v>46219</v>
      </c>
      <c r="E60" s="97">
        <v>1</v>
      </c>
      <c r="F60" s="114"/>
      <c r="G60" s="99">
        <f>Inventory_List_Table[[#This Row],[الكمية]]-Inventory_List_Table[[#This Row],[ الصادر ]]</f>
        <v>1</v>
      </c>
      <c r="H60" s="99"/>
    </row>
    <row r="61" spans="1:8" ht="24" hidden="1" customHeight="1" thickTop="1" thickBot="1" x14ac:dyDescent="0.35">
      <c r="A61" s="46">
        <v>59</v>
      </c>
      <c r="B61" s="58" t="s">
        <v>113</v>
      </c>
      <c r="C61" s="58"/>
      <c r="D61" s="59">
        <v>46219</v>
      </c>
      <c r="E61" s="96">
        <v>1</v>
      </c>
      <c r="F61" s="114"/>
      <c r="G61" s="99">
        <f>Inventory_List_Table[[#This Row],[الكمية]]-Inventory_List_Table[[#This Row],[ الصادر ]]</f>
        <v>1</v>
      </c>
      <c r="H61" s="99"/>
    </row>
    <row r="62" spans="1:8" ht="24" hidden="1" customHeight="1" thickTop="1" thickBot="1" x14ac:dyDescent="0.35">
      <c r="A62" s="46">
        <v>60</v>
      </c>
      <c r="B62" s="118" t="s">
        <v>620</v>
      </c>
      <c r="C62" s="102"/>
      <c r="D62" s="104">
        <v>46228</v>
      </c>
      <c r="E62" s="96">
        <v>2</v>
      </c>
      <c r="F62" s="114">
        <v>2</v>
      </c>
      <c r="G62" s="99">
        <f>Inventory_List_Table[[#This Row],[الكمية]]-Inventory_List_Table[[#This Row],[ الصادر ]]</f>
        <v>0</v>
      </c>
      <c r="H62" s="99"/>
    </row>
    <row r="63" spans="1:8" ht="24" hidden="1" customHeight="1" thickTop="1" thickBot="1" x14ac:dyDescent="0.35">
      <c r="A63" s="46">
        <v>61</v>
      </c>
      <c r="B63" s="103" t="s">
        <v>621</v>
      </c>
      <c r="C63" s="95"/>
      <c r="D63" s="104">
        <v>46228</v>
      </c>
      <c r="E63" s="96">
        <v>2</v>
      </c>
      <c r="F63" s="114">
        <v>2</v>
      </c>
      <c r="G63" s="99">
        <f>Inventory_List_Table[[#This Row],[الكمية]]-Inventory_List_Table[[#This Row],[ الصادر ]]</f>
        <v>0</v>
      </c>
      <c r="H63" s="99" t="s">
        <v>692</v>
      </c>
    </row>
    <row r="64" spans="1:8" ht="24" hidden="1" customHeight="1" thickTop="1" thickBot="1" x14ac:dyDescent="0.35">
      <c r="A64" s="46">
        <v>62</v>
      </c>
      <c r="B64" s="118" t="s">
        <v>619</v>
      </c>
      <c r="C64" s="102"/>
      <c r="D64" s="104">
        <v>46228</v>
      </c>
      <c r="E64" s="96">
        <v>2</v>
      </c>
      <c r="F64" s="114">
        <v>2</v>
      </c>
      <c r="G64" s="99">
        <f>Inventory_List_Table[[#This Row],[الكمية]]-Inventory_List_Table[[#This Row],[ الصادر ]]</f>
        <v>0</v>
      </c>
      <c r="H64" s="99"/>
    </row>
    <row r="65" spans="1:8" ht="24" hidden="1" customHeight="1" thickTop="1" thickBot="1" x14ac:dyDescent="0.35">
      <c r="A65" s="46">
        <v>63</v>
      </c>
      <c r="B65" s="58" t="s">
        <v>114</v>
      </c>
      <c r="C65" s="58" t="s">
        <v>295</v>
      </c>
      <c r="D65" s="59">
        <v>46218</v>
      </c>
      <c r="E65" s="97">
        <v>1</v>
      </c>
      <c r="F65" s="114"/>
      <c r="G65" s="99">
        <f>Inventory_List_Table[[#This Row],[الكمية]]-Inventory_List_Table[[#This Row],[ الصادر ]]</f>
        <v>1</v>
      </c>
      <c r="H65" s="99"/>
    </row>
    <row r="66" spans="1:8" ht="24" hidden="1" customHeight="1" thickTop="1" thickBot="1" x14ac:dyDescent="0.35">
      <c r="A66" s="46">
        <v>64</v>
      </c>
      <c r="B66" s="58" t="s">
        <v>296</v>
      </c>
      <c r="C66" s="58" t="s">
        <v>297</v>
      </c>
      <c r="D66" s="59">
        <v>46217</v>
      </c>
      <c r="E66" s="97">
        <v>1</v>
      </c>
      <c r="F66" s="114"/>
      <c r="G66" s="99">
        <f>Inventory_List_Table[[#This Row],[الكمية]]-Inventory_List_Table[[#This Row],[ الصادر ]]</f>
        <v>1</v>
      </c>
      <c r="H66" s="99"/>
    </row>
    <row r="67" spans="1:8" ht="24" hidden="1" customHeight="1" thickTop="1" thickBot="1" x14ac:dyDescent="0.35">
      <c r="A67" s="46">
        <v>65</v>
      </c>
      <c r="B67" s="58" t="s">
        <v>298</v>
      </c>
      <c r="C67" s="58"/>
      <c r="D67" s="59">
        <v>46217</v>
      </c>
      <c r="E67" s="96">
        <v>2</v>
      </c>
      <c r="F67" s="114">
        <v>1</v>
      </c>
      <c r="G67" s="99">
        <f>Inventory_List_Table[[#This Row],[الكمية]]-Inventory_List_Table[[#This Row],[ الصادر ]]</f>
        <v>1</v>
      </c>
      <c r="H67" s="99"/>
    </row>
    <row r="68" spans="1:8" ht="24" hidden="1" customHeight="1" thickTop="1" thickBot="1" x14ac:dyDescent="0.35">
      <c r="A68" s="46">
        <v>66</v>
      </c>
      <c r="B68" s="112" t="s">
        <v>662</v>
      </c>
      <c r="C68" s="113"/>
      <c r="D68" s="59">
        <v>46231</v>
      </c>
      <c r="E68" s="109">
        <v>50</v>
      </c>
      <c r="F68" s="182">
        <v>15</v>
      </c>
      <c r="G68" s="99">
        <f>Inventory_List_Table[[#This Row],[الكمية]]-Inventory_List_Table[[#This Row],[ الصادر ]]</f>
        <v>35</v>
      </c>
      <c r="H68" s="99"/>
    </row>
    <row r="69" spans="1:8" ht="24" hidden="1" customHeight="1" thickTop="1" thickBot="1" x14ac:dyDescent="0.35">
      <c r="A69" s="46">
        <v>67</v>
      </c>
      <c r="B69" s="111" t="s">
        <v>661</v>
      </c>
      <c r="C69" s="95"/>
      <c r="D69" s="59">
        <v>46231</v>
      </c>
      <c r="E69" s="60">
        <v>60</v>
      </c>
      <c r="F69" s="186">
        <v>15</v>
      </c>
      <c r="G69" s="99">
        <f>Inventory_List_Table[[#This Row],[الكمية]]-Inventory_List_Table[[#This Row],[ الصادر ]]</f>
        <v>45</v>
      </c>
      <c r="H69" s="99"/>
    </row>
    <row r="70" spans="1:8" ht="24" hidden="1" customHeight="1" thickTop="1" thickBot="1" x14ac:dyDescent="0.35">
      <c r="A70" s="46">
        <v>68</v>
      </c>
      <c r="B70" s="58" t="s">
        <v>299</v>
      </c>
      <c r="C70" s="58" t="s">
        <v>300</v>
      </c>
      <c r="D70" s="59">
        <v>46217</v>
      </c>
      <c r="E70" s="97">
        <v>1</v>
      </c>
      <c r="F70" s="114"/>
      <c r="G70" s="99">
        <f>Inventory_List_Table[[#This Row],[الكمية]]-Inventory_List_Table[[#This Row],[ الصادر ]]</f>
        <v>1</v>
      </c>
      <c r="H70" s="99"/>
    </row>
    <row r="71" spans="1:8" ht="24" hidden="1" customHeight="1" thickTop="1" thickBot="1" x14ac:dyDescent="0.35">
      <c r="A71" s="46">
        <v>69</v>
      </c>
      <c r="B71" s="58" t="s">
        <v>116</v>
      </c>
      <c r="C71" s="58" t="s">
        <v>302</v>
      </c>
      <c r="D71" s="59">
        <v>46217</v>
      </c>
      <c r="E71" s="96">
        <v>1</v>
      </c>
      <c r="F71" s="114"/>
      <c r="G71" s="99">
        <f>Inventory_List_Table[[#This Row],[الكمية]]-Inventory_List_Table[[#This Row],[ الصادر ]]</f>
        <v>1</v>
      </c>
      <c r="H71" s="99"/>
    </row>
    <row r="72" spans="1:8" ht="24" hidden="1" customHeight="1" thickTop="1" thickBot="1" x14ac:dyDescent="0.35">
      <c r="A72" s="46">
        <v>70</v>
      </c>
      <c r="B72" s="58" t="s">
        <v>117</v>
      </c>
      <c r="C72" s="58"/>
      <c r="D72" s="59">
        <v>46218</v>
      </c>
      <c r="E72" s="97">
        <v>1</v>
      </c>
      <c r="F72" s="114">
        <v>1</v>
      </c>
      <c r="G72" s="99">
        <f>Inventory_List_Table[[#This Row],[الكمية]]-Inventory_List_Table[[#This Row],[ الصادر ]]</f>
        <v>0</v>
      </c>
      <c r="H72" s="99"/>
    </row>
    <row r="73" spans="1:8" ht="24" hidden="1" customHeight="1" thickTop="1" thickBot="1" x14ac:dyDescent="0.35">
      <c r="A73" s="46">
        <v>71</v>
      </c>
      <c r="B73" s="58" t="s">
        <v>118</v>
      </c>
      <c r="C73" s="58" t="s">
        <v>303</v>
      </c>
      <c r="D73" s="59">
        <v>46218</v>
      </c>
      <c r="E73" s="96">
        <v>1</v>
      </c>
      <c r="F73" s="114"/>
      <c r="G73" s="99">
        <f>Inventory_List_Table[[#This Row],[الكمية]]-Inventory_List_Table[[#This Row],[ الصادر ]]</f>
        <v>1</v>
      </c>
      <c r="H73" s="99"/>
    </row>
    <row r="74" spans="1:8" ht="24" hidden="1" customHeight="1" thickTop="1" thickBot="1" x14ac:dyDescent="0.35">
      <c r="A74" s="46">
        <v>72</v>
      </c>
      <c r="B74" s="58" t="s">
        <v>119</v>
      </c>
      <c r="C74" s="58"/>
      <c r="D74" s="59">
        <v>46217</v>
      </c>
      <c r="E74" s="97">
        <v>1</v>
      </c>
      <c r="F74" s="114">
        <v>1</v>
      </c>
      <c r="G74" s="99">
        <f>Inventory_List_Table[[#This Row],[الكمية]]-Inventory_List_Table[[#This Row],[ الصادر ]]</f>
        <v>0</v>
      </c>
      <c r="H74" s="99"/>
    </row>
    <row r="75" spans="1:8" ht="24" hidden="1" customHeight="1" thickTop="1" thickBot="1" x14ac:dyDescent="0.35">
      <c r="A75" s="46">
        <v>73</v>
      </c>
      <c r="B75" s="53" t="s">
        <v>719</v>
      </c>
      <c r="C75" s="27"/>
      <c r="D75" s="123">
        <v>46231</v>
      </c>
      <c r="E75" s="124">
        <v>100</v>
      </c>
      <c r="F75" s="183"/>
      <c r="G75" s="99">
        <f>Inventory_List_Table[[#This Row],[الكمية]]-Inventory_List_Table[[#This Row],[ الصادر ]]</f>
        <v>100</v>
      </c>
      <c r="H75" s="99"/>
    </row>
    <row r="76" spans="1:8" ht="24" hidden="1" customHeight="1" thickTop="1" thickBot="1" x14ac:dyDescent="0.35">
      <c r="A76" s="46">
        <v>74</v>
      </c>
      <c r="B76" s="53" t="s">
        <v>713</v>
      </c>
      <c r="C76" s="113"/>
      <c r="D76" s="123">
        <v>46231</v>
      </c>
      <c r="E76" s="124">
        <v>40</v>
      </c>
      <c r="F76" s="181"/>
      <c r="G76" s="99">
        <f>Inventory_List_Table[[#This Row],[الكمية]]-Inventory_List_Table[[#This Row],[ الصادر ]]</f>
        <v>40</v>
      </c>
      <c r="H76" s="99"/>
    </row>
    <row r="77" spans="1:8" ht="24" hidden="1" customHeight="1" thickTop="1" thickBot="1" x14ac:dyDescent="0.35">
      <c r="A77" s="46">
        <v>75</v>
      </c>
      <c r="B77" s="58" t="s">
        <v>266</v>
      </c>
      <c r="C77" s="58" t="s">
        <v>304</v>
      </c>
      <c r="D77" s="59">
        <v>46217</v>
      </c>
      <c r="E77" s="97">
        <v>2</v>
      </c>
      <c r="F77" s="114">
        <v>1</v>
      </c>
      <c r="G77" s="99">
        <f>Inventory_List_Table[[#This Row],[الكمية]]-Inventory_List_Table[[#This Row],[ الصادر ]]</f>
        <v>1</v>
      </c>
      <c r="H77" s="99"/>
    </row>
    <row r="78" spans="1:8" ht="24" hidden="1" customHeight="1" thickTop="1" thickBot="1" x14ac:dyDescent="0.35">
      <c r="A78" s="46">
        <v>76</v>
      </c>
      <c r="B78" s="58" t="s">
        <v>600</v>
      </c>
      <c r="C78" s="58" t="s">
        <v>301</v>
      </c>
      <c r="D78" s="59">
        <v>46217</v>
      </c>
      <c r="E78" s="96">
        <v>2</v>
      </c>
      <c r="F78" s="114">
        <v>1</v>
      </c>
      <c r="G78" s="99">
        <f>Inventory_List_Table[[#This Row],[الكمية]]-Inventory_List_Table[[#This Row],[ الصادر ]]</f>
        <v>1</v>
      </c>
      <c r="H78" s="99"/>
    </row>
    <row r="79" spans="1:8" ht="24" hidden="1" customHeight="1" thickTop="1" thickBot="1" x14ac:dyDescent="0.35">
      <c r="A79" s="46">
        <v>77</v>
      </c>
      <c r="B79" s="58" t="s">
        <v>120</v>
      </c>
      <c r="C79" s="58" t="s">
        <v>305</v>
      </c>
      <c r="D79" s="59">
        <v>46219</v>
      </c>
      <c r="E79" s="96">
        <v>2</v>
      </c>
      <c r="F79" s="114"/>
      <c r="G79" s="99">
        <f>Inventory_List_Table[[#This Row],[الكمية]]-Inventory_List_Table[[#This Row],[ الصادر ]]</f>
        <v>2</v>
      </c>
      <c r="H79" s="99"/>
    </row>
    <row r="80" spans="1:8" ht="24" hidden="1" customHeight="1" thickTop="1" thickBot="1" x14ac:dyDescent="0.35">
      <c r="A80" s="46">
        <v>78</v>
      </c>
      <c r="B80" s="58" t="s">
        <v>121</v>
      </c>
      <c r="C80" s="58" t="s">
        <v>603</v>
      </c>
      <c r="D80" s="59">
        <v>46217</v>
      </c>
      <c r="E80" s="96">
        <v>2</v>
      </c>
      <c r="F80" s="114">
        <v>1</v>
      </c>
      <c r="G80" s="99">
        <f>Inventory_List_Table[[#This Row],[الكمية]]-Inventory_List_Table[[#This Row],[ الصادر ]]</f>
        <v>1</v>
      </c>
      <c r="H80" s="99"/>
    </row>
    <row r="81" spans="1:8" ht="24" hidden="1" customHeight="1" thickTop="1" thickBot="1" x14ac:dyDescent="0.35">
      <c r="A81" s="46">
        <v>79</v>
      </c>
      <c r="B81" s="58" t="s">
        <v>122</v>
      </c>
      <c r="C81" s="58" t="s">
        <v>306</v>
      </c>
      <c r="D81" s="59">
        <v>46217</v>
      </c>
      <c r="E81" s="97">
        <v>1</v>
      </c>
      <c r="F81" s="114"/>
      <c r="G81" s="99">
        <f>Inventory_List_Table[[#This Row],[الكمية]]-Inventory_List_Table[[#This Row],[ الصادر ]]</f>
        <v>1</v>
      </c>
      <c r="H81" s="99"/>
    </row>
    <row r="82" spans="1:8" ht="24" hidden="1" customHeight="1" thickTop="1" thickBot="1" x14ac:dyDescent="0.35">
      <c r="A82" s="46">
        <v>80</v>
      </c>
      <c r="B82" s="58" t="s">
        <v>123</v>
      </c>
      <c r="C82" s="58" t="s">
        <v>307</v>
      </c>
      <c r="D82" s="59">
        <v>46218</v>
      </c>
      <c r="E82" s="96">
        <v>1</v>
      </c>
      <c r="F82" s="114"/>
      <c r="G82" s="99">
        <f>Inventory_List_Table[[#This Row],[الكمية]]-Inventory_List_Table[[#This Row],[ الصادر ]]</f>
        <v>1</v>
      </c>
      <c r="H82" s="99"/>
    </row>
    <row r="83" spans="1:8" ht="24" hidden="1" customHeight="1" thickTop="1" thickBot="1" x14ac:dyDescent="0.35">
      <c r="A83" s="46">
        <v>82</v>
      </c>
      <c r="B83" s="58" t="s">
        <v>124</v>
      </c>
      <c r="C83" s="58" t="s">
        <v>308</v>
      </c>
      <c r="D83" s="59">
        <v>46218</v>
      </c>
      <c r="E83" s="97">
        <v>1</v>
      </c>
      <c r="F83" s="114"/>
      <c r="G83" s="99">
        <f>Inventory_List_Table[[#This Row],[الكمية]]-Inventory_List_Table[[#This Row],[ الصادر ]]</f>
        <v>1</v>
      </c>
      <c r="H83" s="99"/>
    </row>
    <row r="84" spans="1:8" ht="24" hidden="1" customHeight="1" thickTop="1" thickBot="1" x14ac:dyDescent="0.35">
      <c r="A84" s="46">
        <v>83</v>
      </c>
      <c r="B84" s="58" t="s">
        <v>125</v>
      </c>
      <c r="C84" s="58" t="s">
        <v>309</v>
      </c>
      <c r="D84" s="59">
        <v>46218</v>
      </c>
      <c r="E84" s="97">
        <v>1</v>
      </c>
      <c r="F84" s="114"/>
      <c r="G84" s="99">
        <f>Inventory_List_Table[[#This Row],[الكمية]]-Inventory_List_Table[[#This Row],[ الصادر ]]</f>
        <v>1</v>
      </c>
      <c r="H84" s="99"/>
    </row>
    <row r="85" spans="1:8" ht="24" hidden="1" customHeight="1" thickTop="1" thickBot="1" x14ac:dyDescent="0.35">
      <c r="A85" s="46">
        <v>84</v>
      </c>
      <c r="B85" s="58" t="s">
        <v>267</v>
      </c>
      <c r="C85" s="58" t="s">
        <v>310</v>
      </c>
      <c r="D85" s="59">
        <v>46217</v>
      </c>
      <c r="E85" s="97">
        <v>2</v>
      </c>
      <c r="F85" s="114">
        <v>1</v>
      </c>
      <c r="G85" s="99">
        <f>Inventory_List_Table[[#This Row],[الكمية]]-Inventory_List_Table[[#This Row],[ الصادر ]]</f>
        <v>1</v>
      </c>
      <c r="H85" s="99"/>
    </row>
    <row r="86" spans="1:8" ht="24" hidden="1" customHeight="1" thickTop="1" thickBot="1" x14ac:dyDescent="0.35">
      <c r="A86" s="46">
        <v>85</v>
      </c>
      <c r="B86" s="58" t="s">
        <v>126</v>
      </c>
      <c r="C86" s="58"/>
      <c r="D86" s="59">
        <v>46218</v>
      </c>
      <c r="E86" s="96">
        <v>1</v>
      </c>
      <c r="F86" s="114">
        <v>1</v>
      </c>
      <c r="G86" s="99">
        <f>Inventory_List_Table[[#This Row],[الكمية]]-Inventory_List_Table[[#This Row],[ الصادر ]]</f>
        <v>0</v>
      </c>
      <c r="H86" s="99"/>
    </row>
    <row r="87" spans="1:8" ht="24" hidden="1" customHeight="1" thickTop="1" thickBot="1" x14ac:dyDescent="0.35">
      <c r="A87" s="46">
        <v>86</v>
      </c>
      <c r="B87" s="58" t="s">
        <v>127</v>
      </c>
      <c r="C87" s="58" t="s">
        <v>311</v>
      </c>
      <c r="D87" s="59">
        <v>46218</v>
      </c>
      <c r="E87" s="97">
        <v>1</v>
      </c>
      <c r="F87" s="114"/>
      <c r="G87" s="99">
        <f>Inventory_List_Table[[#This Row],[الكمية]]-Inventory_List_Table[[#This Row],[ الصادر ]]</f>
        <v>1</v>
      </c>
      <c r="H87" s="99"/>
    </row>
    <row r="88" spans="1:8" ht="24" customHeight="1" thickTop="1" thickBot="1" x14ac:dyDescent="0.35">
      <c r="A88" s="46">
        <v>87</v>
      </c>
      <c r="B88" s="58" t="s">
        <v>312</v>
      </c>
      <c r="C88" s="58" t="s">
        <v>313</v>
      </c>
      <c r="D88" s="59">
        <v>46218</v>
      </c>
      <c r="E88" s="97">
        <v>2</v>
      </c>
      <c r="F88" s="114"/>
      <c r="G88" s="99">
        <f>Inventory_List_Table[[#This Row],[الكمية]]-Inventory_List_Table[[#This Row],[ الصادر ]]</f>
        <v>2</v>
      </c>
      <c r="H88" s="99"/>
    </row>
    <row r="89" spans="1:8" ht="24" customHeight="1" thickTop="1" thickBot="1" x14ac:dyDescent="0.35">
      <c r="A89" s="46">
        <v>88</v>
      </c>
      <c r="B89" s="58" t="s">
        <v>128</v>
      </c>
      <c r="C89" s="58" t="s">
        <v>314</v>
      </c>
      <c r="D89" s="59">
        <v>46217</v>
      </c>
      <c r="E89" s="96">
        <v>2</v>
      </c>
      <c r="F89" s="114">
        <v>1</v>
      </c>
      <c r="G89" s="99">
        <f>Inventory_List_Table[[#This Row],[الكمية]]-Inventory_List_Table[[#This Row],[ الصادر ]]</f>
        <v>1</v>
      </c>
      <c r="H89" s="99"/>
    </row>
    <row r="90" spans="1:8" ht="24" customHeight="1" thickTop="1" thickBot="1" x14ac:dyDescent="0.35">
      <c r="A90" s="46">
        <v>89</v>
      </c>
      <c r="B90" s="58" t="s">
        <v>129</v>
      </c>
      <c r="C90" s="58" t="s">
        <v>315</v>
      </c>
      <c r="D90" s="59">
        <v>46217</v>
      </c>
      <c r="E90" s="96">
        <v>1</v>
      </c>
      <c r="F90" s="114"/>
      <c r="G90" s="99">
        <f>Inventory_List_Table[[#This Row],[الكمية]]-Inventory_List_Table[[#This Row],[ الصادر ]]</f>
        <v>1</v>
      </c>
      <c r="H90" s="99"/>
    </row>
    <row r="91" spans="1:8" ht="24" customHeight="1" thickTop="1" thickBot="1" x14ac:dyDescent="0.35">
      <c r="A91" s="46">
        <v>90</v>
      </c>
      <c r="B91" s="58" t="s">
        <v>130</v>
      </c>
      <c r="C91" s="58" t="s">
        <v>316</v>
      </c>
      <c r="D91" s="59">
        <v>46217</v>
      </c>
      <c r="E91" s="97">
        <v>1</v>
      </c>
      <c r="F91" s="114"/>
      <c r="G91" s="99">
        <f>Inventory_List_Table[[#This Row],[الكمية]]-Inventory_List_Table[[#This Row],[ الصادر ]]</f>
        <v>1</v>
      </c>
      <c r="H91" s="99"/>
    </row>
    <row r="92" spans="1:8" ht="24" customHeight="1" thickTop="1" thickBot="1" x14ac:dyDescent="0.35">
      <c r="A92" s="46">
        <v>91</v>
      </c>
      <c r="B92" s="63" t="s">
        <v>317</v>
      </c>
      <c r="C92" s="63" t="s">
        <v>318</v>
      </c>
      <c r="D92" s="59">
        <v>46223</v>
      </c>
      <c r="E92" s="96">
        <v>1</v>
      </c>
      <c r="F92" s="114"/>
      <c r="G92" s="99">
        <f>Inventory_List_Table[[#This Row],[الكمية]]-Inventory_List_Table[[#This Row],[ الصادر ]]</f>
        <v>1</v>
      </c>
      <c r="H92" s="99"/>
    </row>
    <row r="93" spans="1:8" ht="24" customHeight="1" thickTop="1" thickBot="1" x14ac:dyDescent="0.35">
      <c r="A93" s="46">
        <v>92</v>
      </c>
      <c r="B93" s="58" t="s">
        <v>264</v>
      </c>
      <c r="C93" s="58" t="s">
        <v>319</v>
      </c>
      <c r="D93" s="59">
        <v>46217</v>
      </c>
      <c r="E93" s="97">
        <v>10</v>
      </c>
      <c r="F93" s="114">
        <v>0</v>
      </c>
      <c r="G93" s="99">
        <f>Inventory_List_Table[[#This Row],[الكمية]]-Inventory_List_Table[[#This Row],[ الصادر ]]</f>
        <v>10</v>
      </c>
      <c r="H93" s="99"/>
    </row>
    <row r="94" spans="1:8" ht="24" customHeight="1" thickTop="1" thickBot="1" x14ac:dyDescent="0.35">
      <c r="A94" s="46">
        <v>93</v>
      </c>
      <c r="B94" s="93" t="s">
        <v>131</v>
      </c>
      <c r="C94" s="58" t="s">
        <v>320</v>
      </c>
      <c r="D94" s="59">
        <v>46230</v>
      </c>
      <c r="E94" s="96">
        <v>5</v>
      </c>
      <c r="F94" s="114">
        <v>4</v>
      </c>
      <c r="G94" s="99">
        <f>Inventory_List_Table[[#This Row],[الكمية]]-Inventory_List_Table[[#This Row],[ الصادر ]]</f>
        <v>1</v>
      </c>
      <c r="H94" s="99"/>
    </row>
    <row r="95" spans="1:8" ht="24" customHeight="1" thickTop="1" thickBot="1" x14ac:dyDescent="0.35">
      <c r="A95" s="46">
        <v>94</v>
      </c>
      <c r="B95" s="58" t="s">
        <v>132</v>
      </c>
      <c r="C95" s="58" t="s">
        <v>321</v>
      </c>
      <c r="D95" s="59">
        <v>46230</v>
      </c>
      <c r="E95" s="96">
        <v>3</v>
      </c>
      <c r="F95" s="114">
        <v>1</v>
      </c>
      <c r="G95" s="99">
        <f>Inventory_List_Table[[#This Row],[الكمية]]-Inventory_List_Table[[#This Row],[ الصادر ]]</f>
        <v>2</v>
      </c>
      <c r="H95" s="99"/>
    </row>
    <row r="96" spans="1:8" ht="24" customHeight="1" thickTop="1" thickBot="1" x14ac:dyDescent="0.35">
      <c r="A96" s="46">
        <v>95</v>
      </c>
      <c r="B96" s="58" t="s">
        <v>322</v>
      </c>
      <c r="C96" s="58" t="s">
        <v>323</v>
      </c>
      <c r="D96" s="59">
        <v>46217</v>
      </c>
      <c r="E96" s="97">
        <v>2</v>
      </c>
      <c r="F96" s="114">
        <v>1</v>
      </c>
      <c r="G96" s="99">
        <f>Inventory_List_Table[[#This Row],[الكمية]]-Inventory_List_Table[[#This Row],[ الصادر ]]</f>
        <v>1</v>
      </c>
      <c r="H96" s="99"/>
    </row>
    <row r="97" spans="1:8" ht="24" customHeight="1" thickTop="1" thickBot="1" x14ac:dyDescent="0.35">
      <c r="A97" s="46">
        <v>96</v>
      </c>
      <c r="B97" s="58" t="s">
        <v>133</v>
      </c>
      <c r="C97" s="58" t="s">
        <v>324</v>
      </c>
      <c r="D97" s="59">
        <v>46217</v>
      </c>
      <c r="E97" s="97">
        <v>1</v>
      </c>
      <c r="F97" s="114"/>
      <c r="G97" s="99">
        <f>Inventory_List_Table[[#This Row],[الكمية]]-Inventory_List_Table[[#This Row],[ الصادر ]]</f>
        <v>1</v>
      </c>
      <c r="H97" s="99"/>
    </row>
    <row r="98" spans="1:8" ht="24" customHeight="1" thickTop="1" thickBot="1" x14ac:dyDescent="0.35">
      <c r="A98" s="46">
        <v>97</v>
      </c>
      <c r="B98" s="63" t="s">
        <v>325</v>
      </c>
      <c r="C98" s="58" t="s">
        <v>326</v>
      </c>
      <c r="D98" s="59">
        <v>46223</v>
      </c>
      <c r="E98" s="96">
        <v>1</v>
      </c>
      <c r="F98" s="114"/>
      <c r="G98" s="99">
        <f>Inventory_List_Table[[#This Row],[الكمية]]-Inventory_List_Table[[#This Row],[ الصادر ]]</f>
        <v>1</v>
      </c>
      <c r="H98" s="99"/>
    </row>
    <row r="99" spans="1:8" ht="24" customHeight="1" thickTop="1" thickBot="1" x14ac:dyDescent="0.35">
      <c r="A99" s="46">
        <v>98</v>
      </c>
      <c r="B99" s="63" t="s">
        <v>327</v>
      </c>
      <c r="C99" s="63" t="s">
        <v>328</v>
      </c>
      <c r="D99" s="59">
        <v>46223</v>
      </c>
      <c r="E99" s="96">
        <v>4</v>
      </c>
      <c r="F99" s="114">
        <v>1</v>
      </c>
      <c r="G99" s="99">
        <f>Inventory_List_Table[[#This Row],[الكمية]]-Inventory_List_Table[[#This Row],[ الصادر ]]</f>
        <v>3</v>
      </c>
      <c r="H99" s="99"/>
    </row>
    <row r="100" spans="1:8" ht="24" customHeight="1" thickTop="1" thickBot="1" x14ac:dyDescent="0.35">
      <c r="A100" s="46">
        <v>99</v>
      </c>
      <c r="B100" s="58" t="s">
        <v>329</v>
      </c>
      <c r="C100" s="58" t="s">
        <v>330</v>
      </c>
      <c r="D100" s="59">
        <v>46217</v>
      </c>
      <c r="E100" s="96">
        <v>1</v>
      </c>
      <c r="F100" s="114"/>
      <c r="G100" s="99">
        <f>Inventory_List_Table[[#This Row],[الكمية]]-Inventory_List_Table[[#This Row],[ الصادر ]]</f>
        <v>1</v>
      </c>
      <c r="H100" s="99"/>
    </row>
    <row r="101" spans="1:8" ht="24" customHeight="1" thickTop="1" thickBot="1" x14ac:dyDescent="0.35">
      <c r="A101" s="46">
        <v>100</v>
      </c>
      <c r="B101" s="63" t="s">
        <v>331</v>
      </c>
      <c r="C101" s="63" t="s">
        <v>332</v>
      </c>
      <c r="D101" s="59">
        <v>46223</v>
      </c>
      <c r="E101" s="96">
        <v>2</v>
      </c>
      <c r="F101" s="114"/>
      <c r="G101" s="99">
        <f>Inventory_List_Table[[#This Row],[الكمية]]-Inventory_List_Table[[#This Row],[ الصادر ]]</f>
        <v>2</v>
      </c>
      <c r="H101" s="99"/>
    </row>
    <row r="102" spans="1:8" ht="24" customHeight="1" thickTop="1" thickBot="1" x14ac:dyDescent="0.35">
      <c r="A102" s="46">
        <v>101</v>
      </c>
      <c r="B102" s="58" t="s">
        <v>333</v>
      </c>
      <c r="C102" s="58" t="s">
        <v>334</v>
      </c>
      <c r="D102" s="59">
        <v>46218</v>
      </c>
      <c r="E102" s="96">
        <v>2</v>
      </c>
      <c r="F102" s="114">
        <v>1</v>
      </c>
      <c r="G102" s="99">
        <f>Inventory_List_Table[[#This Row],[الكمية]]-Inventory_List_Table[[#This Row],[ الصادر ]]</f>
        <v>1</v>
      </c>
      <c r="H102" s="99"/>
    </row>
    <row r="103" spans="1:8" ht="24" customHeight="1" thickTop="1" thickBot="1" x14ac:dyDescent="0.35">
      <c r="A103" s="46">
        <v>102</v>
      </c>
      <c r="B103" s="63" t="s">
        <v>335</v>
      </c>
      <c r="C103" s="63" t="s">
        <v>336</v>
      </c>
      <c r="D103" s="59">
        <v>46223</v>
      </c>
      <c r="E103" s="96">
        <v>2</v>
      </c>
      <c r="F103" s="114"/>
      <c r="G103" s="99">
        <f>Inventory_List_Table[[#This Row],[الكمية]]-Inventory_List_Table[[#This Row],[ الصادر ]]</f>
        <v>2</v>
      </c>
      <c r="H103" s="99"/>
    </row>
    <row r="104" spans="1:8" ht="24" customHeight="1" thickTop="1" thickBot="1" x14ac:dyDescent="0.35">
      <c r="A104" s="46">
        <v>103</v>
      </c>
      <c r="B104" s="58" t="s">
        <v>136</v>
      </c>
      <c r="C104" s="58" t="s">
        <v>337</v>
      </c>
      <c r="D104" s="59">
        <v>46230</v>
      </c>
      <c r="E104" s="96">
        <v>4</v>
      </c>
      <c r="F104" s="114">
        <v>2</v>
      </c>
      <c r="G104" s="99">
        <f>Inventory_List_Table[[#This Row],[الكمية]]-Inventory_List_Table[[#This Row],[ الصادر ]]</f>
        <v>2</v>
      </c>
      <c r="H104" s="99"/>
    </row>
    <row r="105" spans="1:8" ht="24" customHeight="1" thickTop="1" thickBot="1" x14ac:dyDescent="0.35">
      <c r="A105" s="46">
        <v>104</v>
      </c>
      <c r="B105" s="58" t="s">
        <v>134</v>
      </c>
      <c r="C105" s="58" t="s">
        <v>338</v>
      </c>
      <c r="D105" s="59">
        <v>46230</v>
      </c>
      <c r="E105" s="97">
        <v>3</v>
      </c>
      <c r="F105" s="114">
        <v>1</v>
      </c>
      <c r="G105" s="99">
        <f>Inventory_List_Table[[#This Row],[الكمية]]-Inventory_List_Table[[#This Row],[ الصادر ]]</f>
        <v>2</v>
      </c>
      <c r="H105" s="99"/>
    </row>
    <row r="106" spans="1:8" ht="24" customHeight="1" thickTop="1" thickBot="1" x14ac:dyDescent="0.35">
      <c r="A106" s="46">
        <v>105</v>
      </c>
      <c r="B106" s="58" t="s">
        <v>135</v>
      </c>
      <c r="C106" s="58" t="s">
        <v>339</v>
      </c>
      <c r="D106" s="59">
        <v>46217</v>
      </c>
      <c r="E106" s="97">
        <v>1</v>
      </c>
      <c r="F106" s="114"/>
      <c r="G106" s="99">
        <f>Inventory_List_Table[[#This Row],[الكمية]]-Inventory_List_Table[[#This Row],[ الصادر ]]</f>
        <v>1</v>
      </c>
      <c r="H106" s="99"/>
    </row>
    <row r="107" spans="1:8" ht="24" customHeight="1" thickTop="1" thickBot="1" x14ac:dyDescent="0.35">
      <c r="A107" s="46">
        <v>106</v>
      </c>
      <c r="B107" s="58" t="s">
        <v>652</v>
      </c>
      <c r="C107" s="58" t="s">
        <v>340</v>
      </c>
      <c r="D107" s="59">
        <v>46217</v>
      </c>
      <c r="E107" s="97">
        <v>1</v>
      </c>
      <c r="F107" s="114"/>
      <c r="G107" s="99">
        <f>Inventory_List_Table[[#This Row],[الكمية]]-Inventory_List_Table[[#This Row],[ الصادر ]]</f>
        <v>1</v>
      </c>
      <c r="H107" s="99"/>
    </row>
    <row r="108" spans="1:8" ht="24" customHeight="1" thickTop="1" thickBot="1" x14ac:dyDescent="0.35">
      <c r="A108" s="46">
        <v>107</v>
      </c>
      <c r="B108" s="58" t="s">
        <v>137</v>
      </c>
      <c r="C108" s="58" t="s">
        <v>341</v>
      </c>
      <c r="D108" s="59">
        <v>46217</v>
      </c>
      <c r="E108" s="97">
        <v>1</v>
      </c>
      <c r="F108" s="114"/>
      <c r="G108" s="99">
        <f>Inventory_List_Table[[#This Row],[الكمية]]-Inventory_List_Table[[#This Row],[ الصادر ]]</f>
        <v>1</v>
      </c>
      <c r="H108" s="99"/>
    </row>
    <row r="109" spans="1:8" ht="24" customHeight="1" thickTop="1" thickBot="1" x14ac:dyDescent="0.35">
      <c r="A109" s="46">
        <v>108</v>
      </c>
      <c r="B109" s="58" t="s">
        <v>138</v>
      </c>
      <c r="C109" s="58"/>
      <c r="D109" s="59">
        <v>46217</v>
      </c>
      <c r="E109" s="97">
        <v>2</v>
      </c>
      <c r="F109" s="114">
        <v>2</v>
      </c>
      <c r="G109" s="99">
        <f>Inventory_List_Table[[#This Row],[الكمية]]-Inventory_List_Table[[#This Row],[ الصادر ]]</f>
        <v>0</v>
      </c>
      <c r="H109" s="99"/>
    </row>
    <row r="110" spans="1:8" ht="24" customHeight="1" thickTop="1" thickBot="1" x14ac:dyDescent="0.35">
      <c r="A110" s="46">
        <v>109</v>
      </c>
      <c r="B110" s="58" t="s">
        <v>139</v>
      </c>
      <c r="C110" s="58"/>
      <c r="D110" s="59">
        <v>46217</v>
      </c>
      <c r="E110" s="96">
        <v>1</v>
      </c>
      <c r="F110" s="114">
        <v>1</v>
      </c>
      <c r="G110" s="99">
        <f>Inventory_List_Table[[#This Row],[الكمية]]-Inventory_List_Table[[#This Row],[ الصادر ]]</f>
        <v>0</v>
      </c>
      <c r="H110" s="99"/>
    </row>
    <row r="111" spans="1:8" ht="24" customHeight="1" thickTop="1" thickBot="1" x14ac:dyDescent="0.35">
      <c r="A111" s="46">
        <v>110</v>
      </c>
      <c r="B111" s="58" t="s">
        <v>140</v>
      </c>
      <c r="C111" s="58"/>
      <c r="D111" s="59">
        <v>46217</v>
      </c>
      <c r="E111" s="97">
        <v>1</v>
      </c>
      <c r="F111" s="114">
        <v>1</v>
      </c>
      <c r="G111" s="99">
        <f>Inventory_List_Table[[#This Row],[الكمية]]-Inventory_List_Table[[#This Row],[ الصادر ]]</f>
        <v>0</v>
      </c>
      <c r="H111" s="99"/>
    </row>
    <row r="112" spans="1:8" ht="24" customHeight="1" thickTop="1" thickBot="1" x14ac:dyDescent="0.35">
      <c r="A112" s="46">
        <v>111</v>
      </c>
      <c r="B112" s="58" t="s">
        <v>141</v>
      </c>
      <c r="C112" s="58" t="s">
        <v>342</v>
      </c>
      <c r="D112" s="59">
        <v>46217</v>
      </c>
      <c r="E112" s="97">
        <v>1</v>
      </c>
      <c r="F112" s="114"/>
      <c r="G112" s="99">
        <f>Inventory_List_Table[[#This Row],[الكمية]]-Inventory_List_Table[[#This Row],[ الصادر ]]</f>
        <v>1</v>
      </c>
      <c r="H112" s="99"/>
    </row>
    <row r="113" spans="1:8" ht="24" customHeight="1" thickTop="1" thickBot="1" x14ac:dyDescent="0.35">
      <c r="A113" s="46">
        <v>112</v>
      </c>
      <c r="B113" s="58" t="s">
        <v>142</v>
      </c>
      <c r="C113" s="58" t="s">
        <v>343</v>
      </c>
      <c r="D113" s="59">
        <v>46217</v>
      </c>
      <c r="E113" s="97">
        <v>1</v>
      </c>
      <c r="F113" s="114"/>
      <c r="G113" s="99">
        <f>Inventory_List_Table[[#This Row],[الكمية]]-Inventory_List_Table[[#This Row],[ الصادر ]]</f>
        <v>1</v>
      </c>
      <c r="H113" s="99"/>
    </row>
    <row r="114" spans="1:8" ht="24" customHeight="1" thickTop="1" thickBot="1" x14ac:dyDescent="0.35">
      <c r="A114" s="46">
        <v>113</v>
      </c>
      <c r="B114" s="58" t="s">
        <v>143</v>
      </c>
      <c r="C114" s="58" t="s">
        <v>344</v>
      </c>
      <c r="D114" s="59">
        <v>46230</v>
      </c>
      <c r="E114" s="96">
        <v>2</v>
      </c>
      <c r="F114" s="114"/>
      <c r="G114" s="99">
        <f>Inventory_List_Table[[#This Row],[الكمية]]-Inventory_List_Table[[#This Row],[ الصادر ]]</f>
        <v>2</v>
      </c>
      <c r="H114" s="99"/>
    </row>
    <row r="115" spans="1:8" ht="24" customHeight="1" thickTop="1" thickBot="1" x14ac:dyDescent="0.35">
      <c r="A115" s="46">
        <v>114</v>
      </c>
      <c r="B115" s="58" t="s">
        <v>144</v>
      </c>
      <c r="C115" s="58" t="s">
        <v>345</v>
      </c>
      <c r="D115" s="59">
        <v>46230</v>
      </c>
      <c r="E115" s="97">
        <v>3</v>
      </c>
      <c r="F115" s="114">
        <v>1</v>
      </c>
      <c r="G115" s="99">
        <f>Inventory_List_Table[[#This Row],[الكمية]]-Inventory_List_Table[[#This Row],[ الصادر ]]</f>
        <v>2</v>
      </c>
      <c r="H115" s="99"/>
    </row>
    <row r="116" spans="1:8" ht="24" customHeight="1" thickTop="1" thickBot="1" x14ac:dyDescent="0.35">
      <c r="A116" s="46">
        <v>115</v>
      </c>
      <c r="B116" s="58" t="s">
        <v>145</v>
      </c>
      <c r="C116" s="58" t="s">
        <v>346</v>
      </c>
      <c r="D116" s="59">
        <v>46217</v>
      </c>
      <c r="E116" s="96">
        <v>1</v>
      </c>
      <c r="F116" s="114"/>
      <c r="G116" s="99">
        <f>Inventory_List_Table[[#This Row],[الكمية]]-Inventory_List_Table[[#This Row],[ الصادر ]]</f>
        <v>1</v>
      </c>
      <c r="H116" s="99"/>
    </row>
    <row r="117" spans="1:8" ht="24" customHeight="1" thickTop="1" thickBot="1" x14ac:dyDescent="0.35">
      <c r="A117" s="46">
        <v>116</v>
      </c>
      <c r="B117" s="63" t="s">
        <v>347</v>
      </c>
      <c r="C117" s="63" t="s">
        <v>348</v>
      </c>
      <c r="D117" s="59">
        <v>46223</v>
      </c>
      <c r="E117" s="96">
        <v>2</v>
      </c>
      <c r="F117" s="114"/>
      <c r="G117" s="99">
        <f>Inventory_List_Table[[#This Row],[الكمية]]-Inventory_List_Table[[#This Row],[ الصادر ]]</f>
        <v>2</v>
      </c>
      <c r="H117" s="99"/>
    </row>
    <row r="118" spans="1:8" ht="24" customHeight="1" thickTop="1" thickBot="1" x14ac:dyDescent="0.35">
      <c r="A118" s="46">
        <v>117</v>
      </c>
      <c r="B118" s="63" t="s">
        <v>349</v>
      </c>
      <c r="C118" s="63" t="s">
        <v>350</v>
      </c>
      <c r="D118" s="59">
        <v>46223</v>
      </c>
      <c r="E118" s="96">
        <v>2</v>
      </c>
      <c r="F118" s="114"/>
      <c r="G118" s="99">
        <f>Inventory_List_Table[[#This Row],[الكمية]]-Inventory_List_Table[[#This Row],[ الصادر ]]</f>
        <v>2</v>
      </c>
      <c r="H118" s="99"/>
    </row>
    <row r="119" spans="1:8" ht="24" customHeight="1" thickTop="1" thickBot="1" x14ac:dyDescent="0.35">
      <c r="A119" s="46">
        <v>118</v>
      </c>
      <c r="B119" s="58" t="s">
        <v>272</v>
      </c>
      <c r="C119" s="58" t="s">
        <v>351</v>
      </c>
      <c r="D119" s="59">
        <v>46217</v>
      </c>
      <c r="E119" s="96">
        <v>1</v>
      </c>
      <c r="F119" s="114"/>
      <c r="G119" s="99">
        <f>Inventory_List_Table[[#This Row],[الكمية]]-Inventory_List_Table[[#This Row],[ الصادر ]]</f>
        <v>1</v>
      </c>
      <c r="H119" s="99"/>
    </row>
    <row r="120" spans="1:8" ht="24" customHeight="1" thickTop="1" thickBot="1" x14ac:dyDescent="0.35">
      <c r="A120" s="46">
        <v>119</v>
      </c>
      <c r="B120" s="58" t="s">
        <v>352</v>
      </c>
      <c r="C120" s="58" t="s">
        <v>353</v>
      </c>
      <c r="D120" s="59">
        <v>46218</v>
      </c>
      <c r="E120" s="97">
        <v>2</v>
      </c>
      <c r="F120" s="114">
        <v>1</v>
      </c>
      <c r="G120" s="99">
        <f>Inventory_List_Table[[#This Row],[الكمية]]-Inventory_List_Table[[#This Row],[ الصادر ]]</f>
        <v>1</v>
      </c>
      <c r="H120" s="99"/>
    </row>
    <row r="121" spans="1:8" ht="24" customHeight="1" thickTop="1" thickBot="1" x14ac:dyDescent="0.35">
      <c r="A121" s="46">
        <v>120</v>
      </c>
      <c r="B121" s="93" t="s">
        <v>146</v>
      </c>
      <c r="C121" s="58" t="s">
        <v>354</v>
      </c>
      <c r="D121" s="59">
        <v>46230</v>
      </c>
      <c r="E121" s="97">
        <v>4</v>
      </c>
      <c r="F121" s="114">
        <v>3</v>
      </c>
      <c r="G121" s="99">
        <f>Inventory_List_Table[[#This Row],[الكمية]]-Inventory_List_Table[[#This Row],[ الصادر ]]</f>
        <v>1</v>
      </c>
      <c r="H121" s="99"/>
    </row>
    <row r="122" spans="1:8" ht="24" customHeight="1" thickTop="1" thickBot="1" x14ac:dyDescent="0.35">
      <c r="A122" s="46">
        <v>121</v>
      </c>
      <c r="B122" s="58" t="s">
        <v>147</v>
      </c>
      <c r="C122" s="58" t="s">
        <v>355</v>
      </c>
      <c r="D122" s="59">
        <v>46217</v>
      </c>
      <c r="E122" s="96">
        <v>2</v>
      </c>
      <c r="F122" s="114">
        <v>1</v>
      </c>
      <c r="G122" s="99">
        <f>Inventory_List_Table[[#This Row],[الكمية]]-Inventory_List_Table[[#This Row],[ الصادر ]]</f>
        <v>1</v>
      </c>
      <c r="H122" s="99"/>
    </row>
    <row r="123" spans="1:8" ht="24" customHeight="1" thickTop="1" thickBot="1" x14ac:dyDescent="0.35">
      <c r="A123" s="46">
        <v>122</v>
      </c>
      <c r="B123" s="58" t="s">
        <v>148</v>
      </c>
      <c r="C123" s="58" t="s">
        <v>356</v>
      </c>
      <c r="D123" s="59">
        <v>46217</v>
      </c>
      <c r="E123" s="96">
        <v>1</v>
      </c>
      <c r="F123" s="114"/>
      <c r="G123" s="99">
        <f>Inventory_List_Table[[#This Row],[الكمية]]-Inventory_List_Table[[#This Row],[ الصادر ]]</f>
        <v>1</v>
      </c>
      <c r="H123" s="99"/>
    </row>
    <row r="124" spans="1:8" ht="24" customHeight="1" thickTop="1" thickBot="1" x14ac:dyDescent="0.35">
      <c r="A124" s="46">
        <v>123</v>
      </c>
      <c r="B124" s="63" t="s">
        <v>357</v>
      </c>
      <c r="C124" s="63" t="s">
        <v>358</v>
      </c>
      <c r="D124" s="59">
        <v>46223</v>
      </c>
      <c r="E124" s="96">
        <v>2</v>
      </c>
      <c r="F124" s="114"/>
      <c r="G124" s="99">
        <f>Inventory_List_Table[[#This Row],[الكمية]]-Inventory_List_Table[[#This Row],[ الصادر ]]</f>
        <v>2</v>
      </c>
      <c r="H124" s="99"/>
    </row>
    <row r="125" spans="1:8" ht="24" customHeight="1" thickTop="1" thickBot="1" x14ac:dyDescent="0.35">
      <c r="A125" s="46">
        <v>124</v>
      </c>
      <c r="B125" s="58" t="s">
        <v>150</v>
      </c>
      <c r="C125" s="58" t="s">
        <v>359</v>
      </c>
      <c r="D125" s="59">
        <v>46218</v>
      </c>
      <c r="E125" s="97">
        <v>2</v>
      </c>
      <c r="F125" s="114">
        <v>1</v>
      </c>
      <c r="G125" s="99">
        <f>Inventory_List_Table[[#This Row],[الكمية]]-Inventory_List_Table[[#This Row],[ الصادر ]]</f>
        <v>1</v>
      </c>
      <c r="H125" s="99"/>
    </row>
    <row r="126" spans="1:8" ht="24" customHeight="1" thickTop="1" thickBot="1" x14ac:dyDescent="0.35">
      <c r="A126" s="46">
        <v>125</v>
      </c>
      <c r="B126" s="58" t="s">
        <v>151</v>
      </c>
      <c r="C126" s="58" t="s">
        <v>360</v>
      </c>
      <c r="D126" s="59">
        <v>46218</v>
      </c>
      <c r="E126" s="96">
        <v>2</v>
      </c>
      <c r="F126" s="114">
        <v>1</v>
      </c>
      <c r="G126" s="99">
        <f>Inventory_List_Table[[#This Row],[الكمية]]-Inventory_List_Table[[#This Row],[ الصادر ]]</f>
        <v>1</v>
      </c>
      <c r="H126" s="99"/>
    </row>
    <row r="127" spans="1:8" ht="24" customHeight="1" thickTop="1" thickBot="1" x14ac:dyDescent="0.35">
      <c r="A127" s="46">
        <v>126</v>
      </c>
      <c r="B127" s="63" t="s">
        <v>361</v>
      </c>
      <c r="C127" s="63" t="s">
        <v>362</v>
      </c>
      <c r="D127" s="59">
        <v>46223</v>
      </c>
      <c r="E127" s="96">
        <v>1</v>
      </c>
      <c r="F127" s="114"/>
      <c r="G127" s="99">
        <f>Inventory_List_Table[[#This Row],[الكمية]]-Inventory_List_Table[[#This Row],[ الصادر ]]</f>
        <v>1</v>
      </c>
      <c r="H127" s="99"/>
    </row>
    <row r="128" spans="1:8" ht="24" customHeight="1" thickTop="1" thickBot="1" x14ac:dyDescent="0.35">
      <c r="A128" s="46">
        <v>127</v>
      </c>
      <c r="B128" s="58" t="s">
        <v>153</v>
      </c>
      <c r="C128" s="58" t="s">
        <v>363</v>
      </c>
      <c r="D128" s="59">
        <v>46217</v>
      </c>
      <c r="E128" s="96">
        <v>1</v>
      </c>
      <c r="F128" s="114"/>
      <c r="G128" s="99">
        <f>Inventory_List_Table[[#This Row],[الكمية]]-Inventory_List_Table[[#This Row],[ الصادر ]]</f>
        <v>1</v>
      </c>
      <c r="H128" s="99"/>
    </row>
    <row r="129" spans="1:8" ht="24" customHeight="1" thickTop="1" thickBot="1" x14ac:dyDescent="0.35">
      <c r="A129" s="46">
        <v>128</v>
      </c>
      <c r="B129" s="58" t="s">
        <v>154</v>
      </c>
      <c r="C129" s="58" t="s">
        <v>364</v>
      </c>
      <c r="D129" s="59">
        <v>46230</v>
      </c>
      <c r="E129" s="97">
        <v>4</v>
      </c>
      <c r="F129" s="114">
        <v>2</v>
      </c>
      <c r="G129" s="99">
        <f>Inventory_List_Table[[#This Row],[الكمية]]-Inventory_List_Table[[#This Row],[ الصادر ]]</f>
        <v>2</v>
      </c>
      <c r="H129" s="99"/>
    </row>
    <row r="130" spans="1:8" ht="24" customHeight="1" thickTop="1" thickBot="1" x14ac:dyDescent="0.35">
      <c r="A130" s="46">
        <v>129</v>
      </c>
      <c r="B130" s="58" t="s">
        <v>155</v>
      </c>
      <c r="C130" s="58" t="s">
        <v>365</v>
      </c>
      <c r="D130" s="59">
        <v>46230</v>
      </c>
      <c r="E130" s="96">
        <v>3</v>
      </c>
      <c r="F130" s="114">
        <v>1</v>
      </c>
      <c r="G130" s="99">
        <f>Inventory_List_Table[[#This Row],[الكمية]]-Inventory_List_Table[[#This Row],[ الصادر ]]</f>
        <v>2</v>
      </c>
      <c r="H130" s="99"/>
    </row>
    <row r="131" spans="1:8" ht="24" customHeight="1" thickTop="1" thickBot="1" x14ac:dyDescent="0.35">
      <c r="A131" s="46">
        <v>130</v>
      </c>
      <c r="B131" s="58" t="s">
        <v>156</v>
      </c>
      <c r="C131" s="58" t="s">
        <v>366</v>
      </c>
      <c r="D131" s="59">
        <v>46218</v>
      </c>
      <c r="E131" s="97">
        <v>2</v>
      </c>
      <c r="F131" s="114">
        <v>1</v>
      </c>
      <c r="G131" s="99">
        <f>Inventory_List_Table[[#This Row],[الكمية]]-Inventory_List_Table[[#This Row],[ الصادر ]]</f>
        <v>1</v>
      </c>
      <c r="H131" s="99"/>
    </row>
    <row r="132" spans="1:8" ht="24" customHeight="1" thickTop="1" thickBot="1" x14ac:dyDescent="0.35">
      <c r="A132" s="46">
        <v>131</v>
      </c>
      <c r="B132" s="58" t="s">
        <v>157</v>
      </c>
      <c r="C132" s="58" t="s">
        <v>367</v>
      </c>
      <c r="D132" s="59">
        <v>46218</v>
      </c>
      <c r="E132" s="96">
        <v>2</v>
      </c>
      <c r="F132" s="114">
        <v>1</v>
      </c>
      <c r="G132" s="99">
        <f>Inventory_List_Table[[#This Row],[الكمية]]-Inventory_List_Table[[#This Row],[ الصادر ]]</f>
        <v>1</v>
      </c>
      <c r="H132" s="99"/>
    </row>
    <row r="133" spans="1:8" ht="24" customHeight="1" thickTop="1" thickBot="1" x14ac:dyDescent="0.35">
      <c r="A133" s="46">
        <v>132</v>
      </c>
      <c r="B133" s="58" t="s">
        <v>158</v>
      </c>
      <c r="C133" s="58" t="s">
        <v>368</v>
      </c>
      <c r="D133" s="59">
        <v>46218</v>
      </c>
      <c r="E133" s="96">
        <v>3</v>
      </c>
      <c r="F133" s="114">
        <v>1</v>
      </c>
      <c r="G133" s="99">
        <f>Inventory_List_Table[[#This Row],[الكمية]]-Inventory_List_Table[[#This Row],[ الصادر ]]</f>
        <v>2</v>
      </c>
      <c r="H133" s="99"/>
    </row>
    <row r="134" spans="1:8" ht="24" customHeight="1" thickTop="1" thickBot="1" x14ac:dyDescent="0.35">
      <c r="A134" s="46">
        <v>133</v>
      </c>
      <c r="B134" s="58" t="s">
        <v>369</v>
      </c>
      <c r="C134" s="58" t="s">
        <v>370</v>
      </c>
      <c r="D134" s="59">
        <v>46217</v>
      </c>
      <c r="E134" s="97">
        <v>2</v>
      </c>
      <c r="F134" s="114">
        <v>1</v>
      </c>
      <c r="G134" s="99">
        <f>Inventory_List_Table[[#This Row],[الكمية]]-Inventory_List_Table[[#This Row],[ الصادر ]]</f>
        <v>1</v>
      </c>
      <c r="H134" s="99"/>
    </row>
    <row r="135" spans="1:8" ht="24" customHeight="1" thickTop="1" thickBot="1" x14ac:dyDescent="0.35">
      <c r="A135" s="46">
        <v>134</v>
      </c>
      <c r="B135" s="58" t="s">
        <v>271</v>
      </c>
      <c r="C135" s="58" t="s">
        <v>371</v>
      </c>
      <c r="D135" s="59">
        <v>46217</v>
      </c>
      <c r="E135" s="96">
        <v>1</v>
      </c>
      <c r="F135" s="114"/>
      <c r="G135" s="99">
        <f>Inventory_List_Table[[#This Row],[الكمية]]-Inventory_List_Table[[#This Row],[ الصادر ]]</f>
        <v>1</v>
      </c>
      <c r="H135" s="99"/>
    </row>
    <row r="136" spans="1:8" ht="24" customHeight="1" thickTop="1" thickBot="1" x14ac:dyDescent="0.35">
      <c r="A136" s="46">
        <v>135</v>
      </c>
      <c r="B136" s="58" t="s">
        <v>161</v>
      </c>
      <c r="C136" s="58" t="s">
        <v>372</v>
      </c>
      <c r="D136" s="59">
        <v>46217</v>
      </c>
      <c r="E136" s="97">
        <v>3</v>
      </c>
      <c r="F136" s="114">
        <v>2</v>
      </c>
      <c r="G136" s="99">
        <f>Inventory_List_Table[[#This Row],[الكمية]]-Inventory_List_Table[[#This Row],[ الصادر ]]</f>
        <v>1</v>
      </c>
      <c r="H136" s="99"/>
    </row>
    <row r="137" spans="1:8" ht="24" customHeight="1" thickTop="1" thickBot="1" x14ac:dyDescent="0.35">
      <c r="A137" s="46">
        <v>136</v>
      </c>
      <c r="B137" s="58" t="s">
        <v>373</v>
      </c>
      <c r="C137" s="58" t="s">
        <v>374</v>
      </c>
      <c r="D137" s="59">
        <v>46218</v>
      </c>
      <c r="E137" s="96">
        <v>1</v>
      </c>
      <c r="F137" s="114"/>
      <c r="G137" s="99">
        <f>Inventory_List_Table[[#This Row],[الكمية]]-Inventory_List_Table[[#This Row],[ الصادر ]]</f>
        <v>1</v>
      </c>
      <c r="H137" s="99"/>
    </row>
    <row r="138" spans="1:8" ht="24" hidden="1" customHeight="1" thickTop="1" thickBot="1" x14ac:dyDescent="0.35">
      <c r="A138" s="46">
        <v>137</v>
      </c>
      <c r="B138" s="118" t="s">
        <v>611</v>
      </c>
      <c r="C138" s="95" t="s">
        <v>612</v>
      </c>
      <c r="D138" s="99"/>
      <c r="E138" s="96">
        <v>1</v>
      </c>
      <c r="F138" s="114"/>
      <c r="G138" s="99">
        <f>Inventory_List_Table[[#This Row],[الكمية]]-Inventory_List_Table[[#This Row],[ الصادر ]]</f>
        <v>1</v>
      </c>
      <c r="H138" s="99"/>
    </row>
    <row r="139" spans="1:8" ht="24" hidden="1" customHeight="1" thickTop="1" thickBot="1" x14ac:dyDescent="0.35">
      <c r="A139" s="46">
        <v>138</v>
      </c>
      <c r="B139" s="63" t="s">
        <v>375</v>
      </c>
      <c r="C139" s="63"/>
      <c r="D139" s="100">
        <v>46219</v>
      </c>
      <c r="E139" s="96">
        <v>1</v>
      </c>
      <c r="F139" s="114"/>
      <c r="G139" s="99">
        <f>Inventory_List_Table[[#This Row],[الكمية]]-Inventory_List_Table[[#This Row],[ الصادر ]]</f>
        <v>1</v>
      </c>
      <c r="H139" s="99"/>
    </row>
    <row r="140" spans="1:8" ht="24" hidden="1" customHeight="1" thickTop="1" thickBot="1" x14ac:dyDescent="0.35">
      <c r="A140" s="46">
        <v>139</v>
      </c>
      <c r="B140" s="103" t="s">
        <v>610</v>
      </c>
      <c r="C140" s="95" t="s">
        <v>290</v>
      </c>
      <c r="D140" s="99"/>
      <c r="E140" s="96">
        <v>1</v>
      </c>
      <c r="F140" s="114"/>
      <c r="G140" s="99">
        <f>Inventory_List_Table[[#This Row],[الكمية]]-Inventory_List_Table[[#This Row],[ الصادر ]]</f>
        <v>1</v>
      </c>
      <c r="H140" s="99"/>
    </row>
    <row r="141" spans="1:8" ht="24" hidden="1" customHeight="1" thickTop="1" thickBot="1" x14ac:dyDescent="0.35">
      <c r="A141" s="46">
        <v>140</v>
      </c>
      <c r="B141" s="63" t="s">
        <v>45</v>
      </c>
      <c r="C141" s="63"/>
      <c r="D141" s="59">
        <v>46219</v>
      </c>
      <c r="E141" s="96">
        <v>1</v>
      </c>
      <c r="F141" s="114"/>
      <c r="G141" s="99">
        <f>Inventory_List_Table[[#This Row],[الكمية]]-Inventory_List_Table[[#This Row],[ الصادر ]]</f>
        <v>1</v>
      </c>
      <c r="H141" s="99"/>
    </row>
    <row r="142" spans="1:8" ht="24" hidden="1" customHeight="1" thickTop="1" thickBot="1" x14ac:dyDescent="0.35">
      <c r="A142" s="46">
        <v>141</v>
      </c>
      <c r="B142" s="58" t="s">
        <v>162</v>
      </c>
      <c r="C142" s="58"/>
      <c r="D142" s="59">
        <v>46219</v>
      </c>
      <c r="E142" s="97">
        <v>1</v>
      </c>
      <c r="F142" s="114"/>
      <c r="G142" s="99">
        <f>Inventory_List_Table[[#This Row],[الكمية]]-Inventory_List_Table[[#This Row],[ الصادر ]]</f>
        <v>1</v>
      </c>
      <c r="H142" s="99"/>
    </row>
    <row r="143" spans="1:8" ht="24" hidden="1" customHeight="1" thickTop="1" thickBot="1" x14ac:dyDescent="0.35">
      <c r="A143" s="46">
        <v>142</v>
      </c>
      <c r="B143" s="53" t="s">
        <v>706</v>
      </c>
      <c r="C143" s="113"/>
      <c r="D143" s="123">
        <v>46231</v>
      </c>
      <c r="E143" s="124">
        <v>50</v>
      </c>
      <c r="F143" s="181"/>
      <c r="G143" s="99">
        <f>Inventory_List_Table[[#This Row],[الكمية]]-Inventory_List_Table[[#This Row],[ الصادر ]]</f>
        <v>50</v>
      </c>
      <c r="H143" s="99"/>
    </row>
    <row r="144" spans="1:8" ht="24" hidden="1" customHeight="1" thickTop="1" thickBot="1" x14ac:dyDescent="0.35">
      <c r="A144" s="46">
        <v>143</v>
      </c>
      <c r="B144" s="53" t="s">
        <v>703</v>
      </c>
      <c r="C144" s="113"/>
      <c r="D144" s="123">
        <v>46231</v>
      </c>
      <c r="E144" s="124">
        <v>50</v>
      </c>
      <c r="F144" s="181"/>
      <c r="G144" s="99">
        <f>Inventory_List_Table[[#This Row],[الكمية]]-Inventory_List_Table[[#This Row],[ الصادر ]]</f>
        <v>50</v>
      </c>
      <c r="H144" s="99"/>
    </row>
    <row r="145" spans="1:8" ht="24" hidden="1" customHeight="1" thickTop="1" thickBot="1" x14ac:dyDescent="0.35">
      <c r="A145" s="46">
        <v>144</v>
      </c>
      <c r="B145" s="53" t="s">
        <v>9</v>
      </c>
      <c r="C145" s="113"/>
      <c r="D145" s="123">
        <v>46231</v>
      </c>
      <c r="E145" s="124">
        <v>50</v>
      </c>
      <c r="F145" s="181"/>
      <c r="G145" s="99">
        <f>Inventory_List_Table[[#This Row],[الكمية]]-Inventory_List_Table[[#This Row],[ الصادر ]]</f>
        <v>50</v>
      </c>
      <c r="H145" s="99"/>
    </row>
    <row r="146" spans="1:8" ht="24" customHeight="1" thickTop="1" thickBot="1" x14ac:dyDescent="0.35">
      <c r="A146" s="46">
        <v>145</v>
      </c>
      <c r="B146" s="58" t="s">
        <v>163</v>
      </c>
      <c r="C146" s="58" t="s">
        <v>376</v>
      </c>
      <c r="D146" s="59">
        <v>46218</v>
      </c>
      <c r="E146" s="96">
        <v>1</v>
      </c>
      <c r="F146" s="114"/>
      <c r="G146" s="99">
        <f>Inventory_List_Table[[#This Row],[الكمية]]-Inventory_List_Table[[#This Row],[ الصادر ]]</f>
        <v>1</v>
      </c>
      <c r="H146" s="99"/>
    </row>
    <row r="147" spans="1:8" ht="24" customHeight="1" thickTop="1" thickBot="1" x14ac:dyDescent="0.35">
      <c r="A147" s="46">
        <v>147</v>
      </c>
      <c r="B147" s="58" t="s">
        <v>164</v>
      </c>
      <c r="C147" s="58" t="s">
        <v>377</v>
      </c>
      <c r="D147" s="59">
        <v>46218</v>
      </c>
      <c r="E147" s="97">
        <v>1</v>
      </c>
      <c r="F147" s="114"/>
      <c r="G147" s="99">
        <f>Inventory_List_Table[[#This Row],[الكمية]]-Inventory_List_Table[[#This Row],[ الصادر ]]</f>
        <v>1</v>
      </c>
      <c r="H147" s="99"/>
    </row>
    <row r="148" spans="1:8" ht="24" customHeight="1" thickTop="1" thickBot="1" x14ac:dyDescent="0.35">
      <c r="A148" s="46">
        <v>148</v>
      </c>
      <c r="B148" s="58" t="s">
        <v>378</v>
      </c>
      <c r="C148" s="58" t="s">
        <v>379</v>
      </c>
      <c r="D148" s="59">
        <v>46218</v>
      </c>
      <c r="E148" s="97">
        <v>1</v>
      </c>
      <c r="F148" s="114"/>
      <c r="G148" s="99">
        <f>Inventory_List_Table[[#This Row],[الكمية]]-Inventory_List_Table[[#This Row],[ الصادر ]]</f>
        <v>1</v>
      </c>
      <c r="H148" s="99"/>
    </row>
    <row r="149" spans="1:8" ht="24" customHeight="1" thickTop="1" thickBot="1" x14ac:dyDescent="0.35">
      <c r="A149" s="46">
        <v>149</v>
      </c>
      <c r="B149" s="58" t="s">
        <v>165</v>
      </c>
      <c r="C149" s="58" t="s">
        <v>380</v>
      </c>
      <c r="D149" s="59">
        <v>46218</v>
      </c>
      <c r="E149" s="96">
        <v>6</v>
      </c>
      <c r="F149" s="114">
        <v>1</v>
      </c>
      <c r="G149" s="99"/>
      <c r="H149" s="99"/>
    </row>
    <row r="150" spans="1:8" ht="24" hidden="1" customHeight="1" thickTop="1" thickBot="1" x14ac:dyDescent="0.35">
      <c r="A150" s="46">
        <v>150</v>
      </c>
      <c r="B150" s="58" t="s">
        <v>381</v>
      </c>
      <c r="C150" s="58" t="s">
        <v>382</v>
      </c>
      <c r="D150" s="59">
        <v>46217</v>
      </c>
      <c r="E150" s="97">
        <v>1</v>
      </c>
      <c r="F150" s="114"/>
      <c r="G150" s="99">
        <f>Inventory_List_Table[[#This Row],[الكمية]]-Inventory_List_Table[[#This Row],[ الصادر ]]</f>
        <v>1</v>
      </c>
      <c r="H150" s="99"/>
    </row>
    <row r="151" spans="1:8" ht="24" hidden="1" customHeight="1" thickTop="1" thickBot="1" x14ac:dyDescent="0.35">
      <c r="A151" s="46">
        <v>151</v>
      </c>
      <c r="B151" s="58" t="s">
        <v>268</v>
      </c>
      <c r="C151" s="58" t="s">
        <v>383</v>
      </c>
      <c r="D151" s="59">
        <v>46230</v>
      </c>
      <c r="E151" s="96">
        <v>110</v>
      </c>
      <c r="F151" s="114">
        <v>12</v>
      </c>
      <c r="G151" s="99">
        <f>Inventory_List_Table[[#This Row],[الكمية]]-Inventory_List_Table[[#This Row],[ الصادر ]]</f>
        <v>98</v>
      </c>
      <c r="H151" s="99"/>
    </row>
    <row r="152" spans="1:8" ht="24" hidden="1" customHeight="1" thickTop="1" thickBot="1" x14ac:dyDescent="0.35">
      <c r="A152" s="46">
        <v>152</v>
      </c>
      <c r="B152" s="58" t="s">
        <v>167</v>
      </c>
      <c r="C152" s="58" t="s">
        <v>384</v>
      </c>
      <c r="D152" s="59">
        <v>46230</v>
      </c>
      <c r="E152" s="96">
        <v>101</v>
      </c>
      <c r="F152" s="114">
        <v>15</v>
      </c>
      <c r="G152" s="99">
        <f>Inventory_List_Table[[#This Row],[الكمية]]-Inventory_List_Table[[#This Row],[ الصادر ]]</f>
        <v>86</v>
      </c>
      <c r="H152" s="99"/>
    </row>
    <row r="153" spans="1:8" ht="24" hidden="1" customHeight="1" thickTop="1" thickBot="1" x14ac:dyDescent="0.35">
      <c r="A153" s="46">
        <v>153</v>
      </c>
      <c r="B153" s="58" t="s">
        <v>168</v>
      </c>
      <c r="C153" s="58" t="s">
        <v>385</v>
      </c>
      <c r="D153" s="59">
        <v>46218</v>
      </c>
      <c r="E153" s="96">
        <v>1</v>
      </c>
      <c r="F153" s="114"/>
      <c r="G153" s="99">
        <f>Inventory_List_Table[[#This Row],[الكمية]]-Inventory_List_Table[[#This Row],[ الصادر ]]</f>
        <v>1</v>
      </c>
      <c r="H153" s="99"/>
    </row>
    <row r="154" spans="1:8" ht="24" hidden="1" customHeight="1" thickTop="1" thickBot="1" x14ac:dyDescent="0.35">
      <c r="A154" s="46">
        <v>154</v>
      </c>
      <c r="B154" s="58" t="s">
        <v>169</v>
      </c>
      <c r="C154" s="58"/>
      <c r="D154" s="59">
        <v>46219</v>
      </c>
      <c r="E154" s="96">
        <v>1</v>
      </c>
      <c r="F154" s="114"/>
      <c r="G154" s="99">
        <f>Inventory_List_Table[[#This Row],[الكمية]]-Inventory_List_Table[[#This Row],[ الصادر ]]</f>
        <v>1</v>
      </c>
      <c r="H154" s="99"/>
    </row>
    <row r="155" spans="1:8" ht="24" hidden="1" customHeight="1" thickTop="1" thickBot="1" x14ac:dyDescent="0.35">
      <c r="A155" s="46">
        <v>155</v>
      </c>
      <c r="B155" s="112" t="s">
        <v>668</v>
      </c>
      <c r="C155" s="113"/>
      <c r="D155" s="59">
        <v>46231</v>
      </c>
      <c r="E155" s="109">
        <v>15</v>
      </c>
      <c r="F155" s="98">
        <f ca="1">Inventory_List_Table[[#This Row],[الكمية]]-Inventory_List_Table[[#This Row],[ الصادر ]]</f>
        <v>0</v>
      </c>
      <c r="G155" s="99">
        <f ca="1">Inventory_List_Table[[#This Row],[الكمية]]-Inventory_List_Table[[#This Row],[ الصادر ]]</f>
        <v>1</v>
      </c>
      <c r="H155" s="99"/>
    </row>
    <row r="156" spans="1:8" ht="24" hidden="1" customHeight="1" thickTop="1" thickBot="1" x14ac:dyDescent="0.35">
      <c r="A156" s="46">
        <v>156</v>
      </c>
      <c r="B156" s="58" t="s">
        <v>170</v>
      </c>
      <c r="C156" s="58" t="s">
        <v>386</v>
      </c>
      <c r="D156" s="59">
        <v>46217</v>
      </c>
      <c r="E156" s="97">
        <v>2</v>
      </c>
      <c r="F156" s="114"/>
      <c r="G156" s="99">
        <f>Inventory_List_Table[[#This Row],[الكمية]]-Inventory_List_Table[[#This Row],[ الصادر ]]</f>
        <v>2</v>
      </c>
      <c r="H156" s="99"/>
    </row>
    <row r="157" spans="1:8" ht="24" hidden="1" customHeight="1" thickTop="1" thickBot="1" x14ac:dyDescent="0.35">
      <c r="A157" s="46">
        <v>157</v>
      </c>
      <c r="B157" s="112" t="s">
        <v>667</v>
      </c>
      <c r="C157" s="113"/>
      <c r="D157" s="59">
        <v>46231</v>
      </c>
      <c r="E157" s="109">
        <v>15</v>
      </c>
      <c r="F157" s="98">
        <f ca="1">Inventory_List_Table[[#This Row],[الكمية]]-Inventory_List_Table[[#This Row],[ الصادر ]]</f>
        <v>0</v>
      </c>
      <c r="G157" s="99">
        <f ca="1">Inventory_List_Table[[#This Row],[الكمية]]-Inventory_List_Table[[#This Row],[ الصادر ]]</f>
        <v>4</v>
      </c>
      <c r="H157" s="99"/>
    </row>
    <row r="158" spans="1:8" ht="24" hidden="1" customHeight="1" thickTop="1" thickBot="1" x14ac:dyDescent="0.35">
      <c r="A158" s="46">
        <v>158</v>
      </c>
      <c r="B158" s="63" t="s">
        <v>387</v>
      </c>
      <c r="C158" s="63" t="s">
        <v>388</v>
      </c>
      <c r="D158" s="59">
        <v>46223</v>
      </c>
      <c r="E158" s="96">
        <v>1</v>
      </c>
      <c r="F158" s="114"/>
      <c r="G158" s="99">
        <f>Inventory_List_Table[[#This Row],[الكمية]]-Inventory_List_Table[[#This Row],[ الصادر ]]</f>
        <v>1</v>
      </c>
      <c r="H158" s="99"/>
    </row>
    <row r="159" spans="1:8" ht="24" hidden="1" customHeight="1" thickTop="1" thickBot="1" x14ac:dyDescent="0.35">
      <c r="A159" s="46">
        <v>159</v>
      </c>
      <c r="B159" s="63" t="s">
        <v>389</v>
      </c>
      <c r="C159" s="63" t="s">
        <v>390</v>
      </c>
      <c r="D159" s="59">
        <v>46223</v>
      </c>
      <c r="E159" s="96">
        <v>1</v>
      </c>
      <c r="F159" s="114"/>
      <c r="G159" s="99">
        <f>Inventory_List_Table[[#This Row],[الكمية]]-Inventory_List_Table[[#This Row],[ الصادر ]]</f>
        <v>1</v>
      </c>
      <c r="H159" s="99"/>
    </row>
    <row r="160" spans="1:8" ht="24" hidden="1" customHeight="1" thickTop="1" thickBot="1" x14ac:dyDescent="0.35">
      <c r="A160" s="46">
        <v>160</v>
      </c>
      <c r="B160" s="63" t="s">
        <v>391</v>
      </c>
      <c r="C160" s="63" t="s">
        <v>392</v>
      </c>
      <c r="D160" s="59">
        <v>46223</v>
      </c>
      <c r="E160" s="96">
        <v>1</v>
      </c>
      <c r="F160" s="114"/>
      <c r="G160" s="99">
        <f>Inventory_List_Table[[#This Row],[الكمية]]-Inventory_List_Table[[#This Row],[ الصادر ]]</f>
        <v>1</v>
      </c>
      <c r="H160" s="99"/>
    </row>
    <row r="161" spans="1:8" ht="24" hidden="1" customHeight="1" thickTop="1" thickBot="1" x14ac:dyDescent="0.35">
      <c r="A161" s="46">
        <v>161</v>
      </c>
      <c r="B161" s="63" t="s">
        <v>393</v>
      </c>
      <c r="C161" s="63" t="s">
        <v>394</v>
      </c>
      <c r="D161" s="59">
        <v>46223</v>
      </c>
      <c r="E161" s="96">
        <v>1</v>
      </c>
      <c r="F161" s="114"/>
      <c r="G161" s="99">
        <f>Inventory_List_Table[[#This Row],[الكمية]]-Inventory_List_Table[[#This Row],[ الصادر ]]</f>
        <v>1</v>
      </c>
      <c r="H161" s="99"/>
    </row>
    <row r="162" spans="1:8" ht="24" hidden="1" customHeight="1" thickTop="1" thickBot="1" x14ac:dyDescent="0.35">
      <c r="A162" s="46">
        <v>162</v>
      </c>
      <c r="B162" s="58" t="s">
        <v>171</v>
      </c>
      <c r="C162" s="58"/>
      <c r="D162" s="59">
        <v>46219</v>
      </c>
      <c r="E162" s="96">
        <v>1</v>
      </c>
      <c r="F162" s="114"/>
      <c r="G162" s="99">
        <f>Inventory_List_Table[[#This Row],[الكمية]]-Inventory_List_Table[[#This Row],[ الصادر ]]</f>
        <v>1</v>
      </c>
      <c r="H162" s="99"/>
    </row>
    <row r="163" spans="1:8" ht="24" hidden="1" customHeight="1" thickTop="1" thickBot="1" x14ac:dyDescent="0.35">
      <c r="A163" s="46">
        <v>163</v>
      </c>
      <c r="B163" s="63" t="s">
        <v>395</v>
      </c>
      <c r="C163" s="63" t="s">
        <v>396</v>
      </c>
      <c r="D163" s="59">
        <v>46223</v>
      </c>
      <c r="E163" s="96">
        <v>1</v>
      </c>
      <c r="F163" s="114"/>
      <c r="G163" s="99">
        <f>Inventory_List_Table[[#This Row],[الكمية]]-Inventory_List_Table[[#This Row],[ الصادر ]]</f>
        <v>1</v>
      </c>
      <c r="H163" s="99"/>
    </row>
    <row r="164" spans="1:8" ht="24" hidden="1" customHeight="1" thickTop="1" thickBot="1" x14ac:dyDescent="0.35">
      <c r="A164" s="46">
        <v>164</v>
      </c>
      <c r="B164" s="63" t="s">
        <v>397</v>
      </c>
      <c r="C164" s="63" t="s">
        <v>398</v>
      </c>
      <c r="D164" s="59">
        <v>46223</v>
      </c>
      <c r="E164" s="96">
        <v>2</v>
      </c>
      <c r="F164" s="114"/>
      <c r="G164" s="99">
        <f>Inventory_List_Table[[#This Row],[الكمية]]-Inventory_List_Table[[#This Row],[ الصادر ]]</f>
        <v>2</v>
      </c>
      <c r="H164" s="99"/>
    </row>
    <row r="165" spans="1:8" ht="24" hidden="1" customHeight="1" thickTop="1" thickBot="1" x14ac:dyDescent="0.35">
      <c r="A165" s="46">
        <v>165</v>
      </c>
      <c r="B165" s="58" t="s">
        <v>172</v>
      </c>
      <c r="C165" s="58" t="s">
        <v>399</v>
      </c>
      <c r="D165" s="59">
        <v>46217</v>
      </c>
      <c r="E165" s="96">
        <v>1</v>
      </c>
      <c r="F165" s="114"/>
      <c r="G165" s="99">
        <f>Inventory_List_Table[[#This Row],[الكمية]]-Inventory_List_Table[[#This Row],[ الصادر ]]</f>
        <v>1</v>
      </c>
      <c r="H165" s="99"/>
    </row>
    <row r="166" spans="1:8" ht="24" hidden="1" customHeight="1" thickTop="1" thickBot="1" x14ac:dyDescent="0.35">
      <c r="A166" s="46">
        <v>166</v>
      </c>
      <c r="B166" s="58" t="s">
        <v>173</v>
      </c>
      <c r="C166" s="58" t="s">
        <v>400</v>
      </c>
      <c r="D166" s="59">
        <v>46217</v>
      </c>
      <c r="E166" s="97">
        <v>1</v>
      </c>
      <c r="F166" s="114"/>
      <c r="G166" s="99">
        <f>Inventory_List_Table[[#This Row],[الكمية]]-Inventory_List_Table[[#This Row],[ الصادر ]]</f>
        <v>1</v>
      </c>
      <c r="H166" s="99"/>
    </row>
    <row r="167" spans="1:8" ht="24" hidden="1" customHeight="1" thickTop="1" thickBot="1" x14ac:dyDescent="0.35">
      <c r="A167" s="46">
        <v>167</v>
      </c>
      <c r="B167" s="58" t="s">
        <v>174</v>
      </c>
      <c r="C167" s="58" t="s">
        <v>401</v>
      </c>
      <c r="D167" s="59">
        <v>46217</v>
      </c>
      <c r="E167" s="96">
        <v>1</v>
      </c>
      <c r="F167" s="114"/>
      <c r="G167" s="99">
        <f>Inventory_List_Table[[#This Row],[الكمية]]-Inventory_List_Table[[#This Row],[ الصادر ]]</f>
        <v>1</v>
      </c>
      <c r="H167" s="99"/>
    </row>
    <row r="168" spans="1:8" ht="24" hidden="1" customHeight="1" thickTop="1" thickBot="1" x14ac:dyDescent="0.35">
      <c r="A168" s="46">
        <v>168</v>
      </c>
      <c r="B168" s="58" t="s">
        <v>402</v>
      </c>
      <c r="C168" s="58"/>
      <c r="D168" s="59">
        <v>46218</v>
      </c>
      <c r="E168" s="97">
        <v>0</v>
      </c>
      <c r="F168" s="114"/>
      <c r="G168" s="99">
        <f>Inventory_List_Table[[#This Row],[الكمية]]-Inventory_List_Table[[#This Row],[ الصادر ]]</f>
        <v>0</v>
      </c>
      <c r="H168" s="99"/>
    </row>
    <row r="169" spans="1:8" ht="24" hidden="1" customHeight="1" thickTop="1" thickBot="1" x14ac:dyDescent="0.35">
      <c r="A169" s="46">
        <v>169</v>
      </c>
      <c r="B169" s="58" t="s">
        <v>175</v>
      </c>
      <c r="C169" s="58" t="s">
        <v>403</v>
      </c>
      <c r="D169" s="59">
        <v>46217</v>
      </c>
      <c r="E169" s="96">
        <v>1</v>
      </c>
      <c r="F169" s="114"/>
      <c r="G169" s="99">
        <f>Inventory_List_Table[[#This Row],[الكمية]]-Inventory_List_Table[[#This Row],[ الصادر ]]</f>
        <v>1</v>
      </c>
      <c r="H169" s="99"/>
    </row>
    <row r="170" spans="1:8" ht="24" hidden="1" customHeight="1" thickTop="1" thickBot="1" x14ac:dyDescent="0.35">
      <c r="A170" s="46">
        <v>170</v>
      </c>
      <c r="B170" s="58" t="s">
        <v>659</v>
      </c>
      <c r="C170" s="95"/>
      <c r="D170" s="106">
        <v>46230</v>
      </c>
      <c r="E170" s="96">
        <v>47</v>
      </c>
      <c r="F170" s="98">
        <f ca="1">Inventory_List_Table[[#This Row],[الكمية]]-Inventory_List_Table[[#This Row],[ الصادر ]]</f>
        <v>0</v>
      </c>
      <c r="G170" s="99">
        <f ca="1">Inventory_List_Table[[#This Row],[الكمية]]-Inventory_List_Table[[#This Row],[ الصادر ]]</f>
        <v>10</v>
      </c>
      <c r="H170" s="99"/>
    </row>
    <row r="171" spans="1:8" ht="24" hidden="1" customHeight="1" thickTop="1" thickBot="1" x14ac:dyDescent="0.35">
      <c r="A171" s="46">
        <v>171</v>
      </c>
      <c r="B171" s="63" t="s">
        <v>657</v>
      </c>
      <c r="C171" s="95"/>
      <c r="D171" s="106">
        <v>46230</v>
      </c>
      <c r="E171" s="96">
        <v>2</v>
      </c>
      <c r="F171" s="98">
        <f ca="1">Inventory_List_Table[[#This Row],[الكمية]]-Inventory_List_Table[[#This Row],[ الصادر ]]</f>
        <v>0</v>
      </c>
      <c r="G171" s="99">
        <f ca="1">Inventory_List_Table[[#This Row],[الكمية]]-Inventory_List_Table[[#This Row],[ الصادر ]]</f>
        <v>1</v>
      </c>
      <c r="H171" s="99"/>
    </row>
    <row r="172" spans="1:8" ht="24" hidden="1" customHeight="1" thickTop="1" thickBot="1" x14ac:dyDescent="0.35">
      <c r="A172" s="46">
        <v>172</v>
      </c>
      <c r="B172" s="58" t="s">
        <v>660</v>
      </c>
      <c r="C172" s="95"/>
      <c r="D172" s="106">
        <v>46230</v>
      </c>
      <c r="E172" s="96">
        <v>50</v>
      </c>
      <c r="F172" s="98">
        <f ca="1">Inventory_List_Table[[#This Row],[الكمية]]-Inventory_List_Table[[#This Row],[ الصادر ]]</f>
        <v>0</v>
      </c>
      <c r="G172" s="99">
        <f ca="1">Inventory_List_Table[[#This Row],[الكمية]]-Inventory_List_Table[[#This Row],[ الصادر ]]</f>
        <v>0</v>
      </c>
      <c r="H172" s="99"/>
    </row>
    <row r="173" spans="1:8" ht="24" hidden="1" customHeight="1" thickTop="1" thickBot="1" x14ac:dyDescent="0.35">
      <c r="A173" s="46">
        <v>173</v>
      </c>
      <c r="B173" s="53" t="s">
        <v>741</v>
      </c>
      <c r="C173" s="27"/>
      <c r="D173" s="123">
        <v>46231</v>
      </c>
      <c r="E173" s="124">
        <v>6</v>
      </c>
      <c r="F173" s="183"/>
      <c r="G173" s="99">
        <f>Inventory_List_Table[[#This Row],[الكمية]]-Inventory_List_Table[[#This Row],[ الصادر ]]</f>
        <v>6</v>
      </c>
      <c r="H173" s="99"/>
    </row>
    <row r="174" spans="1:8" ht="24" hidden="1" customHeight="1" thickTop="1" thickBot="1" x14ac:dyDescent="0.35">
      <c r="A174" s="46">
        <v>174</v>
      </c>
      <c r="B174" s="58" t="s">
        <v>176</v>
      </c>
      <c r="C174" s="58"/>
      <c r="D174" s="59">
        <v>46219</v>
      </c>
      <c r="E174" s="96">
        <v>1</v>
      </c>
      <c r="F174" s="114"/>
      <c r="G174" s="99">
        <f>Inventory_List_Table[[#This Row],[الكمية]]-Inventory_List_Table[[#This Row],[ الصادر ]]</f>
        <v>1</v>
      </c>
      <c r="H174" s="99"/>
    </row>
    <row r="175" spans="1:8" ht="24" hidden="1" customHeight="1" thickTop="1" thickBot="1" x14ac:dyDescent="0.35">
      <c r="A175" s="46">
        <v>175</v>
      </c>
      <c r="B175" s="58" t="s">
        <v>404</v>
      </c>
      <c r="C175" s="58" t="s">
        <v>405</v>
      </c>
      <c r="D175" s="59">
        <v>46218</v>
      </c>
      <c r="E175" s="97">
        <v>1</v>
      </c>
      <c r="F175" s="114"/>
      <c r="G175" s="99">
        <f>Inventory_List_Table[[#This Row],[الكمية]]-Inventory_List_Table[[#This Row],[ الصادر ]]</f>
        <v>1</v>
      </c>
      <c r="H175" s="99"/>
    </row>
    <row r="176" spans="1:8" ht="24" hidden="1" customHeight="1" thickTop="1" thickBot="1" x14ac:dyDescent="0.35">
      <c r="A176" s="46">
        <v>176</v>
      </c>
      <c r="B176" s="58" t="s">
        <v>406</v>
      </c>
      <c r="C176" s="58" t="s">
        <v>407</v>
      </c>
      <c r="D176" s="59">
        <v>46218</v>
      </c>
      <c r="E176" s="96">
        <v>1</v>
      </c>
      <c r="F176" s="114"/>
      <c r="G176" s="99">
        <f>Inventory_List_Table[[#This Row],[الكمية]]-Inventory_List_Table[[#This Row],[ الصادر ]]</f>
        <v>1</v>
      </c>
      <c r="H176" s="99"/>
    </row>
    <row r="177" spans="1:8" ht="24" hidden="1" customHeight="1" thickTop="1" thickBot="1" x14ac:dyDescent="0.35">
      <c r="A177" s="46">
        <v>177</v>
      </c>
      <c r="B177" s="118" t="s">
        <v>623</v>
      </c>
      <c r="C177" s="105" t="s">
        <v>624</v>
      </c>
      <c r="D177" s="104">
        <v>46229</v>
      </c>
      <c r="E177" s="96">
        <v>10</v>
      </c>
      <c r="F177" s="114">
        <v>1</v>
      </c>
      <c r="G177" s="99">
        <f>Inventory_List_Table[[#This Row],[الكمية]]-Inventory_List_Table[[#This Row],[ الصادر ]]</f>
        <v>9</v>
      </c>
      <c r="H177" s="99"/>
    </row>
    <row r="178" spans="1:8" ht="24" hidden="1" customHeight="1" thickTop="1" thickBot="1" x14ac:dyDescent="0.35">
      <c r="A178" s="46">
        <v>178</v>
      </c>
      <c r="B178" s="103" t="s">
        <v>602</v>
      </c>
      <c r="C178" s="95" t="s">
        <v>601</v>
      </c>
      <c r="D178" s="102"/>
      <c r="E178" s="96">
        <v>1</v>
      </c>
      <c r="F178" s="115"/>
      <c r="G178" s="99">
        <f>Inventory_List_Table[[#This Row],[الكمية]]-Inventory_List_Table[[#This Row],[ الصادر ]]</f>
        <v>1</v>
      </c>
      <c r="H178" s="99"/>
    </row>
    <row r="179" spans="1:8" ht="24" hidden="1" customHeight="1" thickTop="1" thickBot="1" x14ac:dyDescent="0.35">
      <c r="A179" s="46">
        <v>179</v>
      </c>
      <c r="B179" s="58" t="s">
        <v>269</v>
      </c>
      <c r="C179" s="58"/>
      <c r="D179" s="59">
        <v>46230</v>
      </c>
      <c r="E179" s="96">
        <v>41</v>
      </c>
      <c r="F179" s="114">
        <v>1</v>
      </c>
      <c r="G179" s="99">
        <f>Inventory_List_Table[[#This Row],[الكمية]]-Inventory_List_Table[[#This Row],[ الصادر ]]</f>
        <v>40</v>
      </c>
      <c r="H179" s="99"/>
    </row>
    <row r="180" spans="1:8" ht="24" hidden="1" customHeight="1" thickTop="1" thickBot="1" x14ac:dyDescent="0.35">
      <c r="A180" s="46">
        <v>180</v>
      </c>
      <c r="B180" s="93" t="s">
        <v>177</v>
      </c>
      <c r="C180" s="58" t="s">
        <v>408</v>
      </c>
      <c r="D180" s="59">
        <v>46218</v>
      </c>
      <c r="E180" s="97">
        <v>1</v>
      </c>
      <c r="F180" s="114">
        <v>1</v>
      </c>
      <c r="G180" s="99">
        <f>Inventory_List_Table[[#This Row],[الكمية]]-Inventory_List_Table[[#This Row],[ الصادر ]]</f>
        <v>0</v>
      </c>
      <c r="H180" s="99"/>
    </row>
    <row r="181" spans="1:8" ht="24" hidden="1" customHeight="1" thickTop="1" thickBot="1" x14ac:dyDescent="0.35">
      <c r="A181" s="46">
        <v>181</v>
      </c>
      <c r="B181" s="58" t="s">
        <v>178</v>
      </c>
      <c r="C181" s="58" t="s">
        <v>409</v>
      </c>
      <c r="D181" s="59">
        <v>46218</v>
      </c>
      <c r="E181" s="96">
        <v>1</v>
      </c>
      <c r="F181" s="114"/>
      <c r="G181" s="99">
        <f>Inventory_List_Table[[#This Row],[الكمية]]-Inventory_List_Table[[#This Row],[ الصادر ]]</f>
        <v>1</v>
      </c>
      <c r="H181" s="99"/>
    </row>
    <row r="182" spans="1:8" ht="24" hidden="1" customHeight="1" thickTop="1" thickBot="1" x14ac:dyDescent="0.35">
      <c r="A182" s="46">
        <v>182</v>
      </c>
      <c r="B182" s="58" t="s">
        <v>179</v>
      </c>
      <c r="C182" s="58" t="s">
        <v>410</v>
      </c>
      <c r="D182" s="59">
        <v>46218</v>
      </c>
      <c r="E182" s="97">
        <v>1</v>
      </c>
      <c r="F182" s="114"/>
      <c r="G182" s="99">
        <f>Inventory_List_Table[[#This Row],[الكمية]]-Inventory_List_Table[[#This Row],[ الصادر ]]</f>
        <v>1</v>
      </c>
      <c r="H182" s="99"/>
    </row>
    <row r="183" spans="1:8" ht="24" hidden="1" customHeight="1" thickTop="1" thickBot="1" x14ac:dyDescent="0.35">
      <c r="A183" s="46">
        <v>183</v>
      </c>
      <c r="B183" s="93" t="s">
        <v>180</v>
      </c>
      <c r="C183" s="58" t="s">
        <v>411</v>
      </c>
      <c r="D183" s="59">
        <v>46230</v>
      </c>
      <c r="E183" s="97">
        <v>21</v>
      </c>
      <c r="F183" s="114">
        <v>10</v>
      </c>
      <c r="G183" s="99">
        <f>Inventory_List_Table[[#This Row],[الكمية]]-Inventory_List_Table[[#This Row],[ الصادر ]]</f>
        <v>11</v>
      </c>
      <c r="H183" s="99"/>
    </row>
    <row r="184" spans="1:8" ht="24" hidden="1" customHeight="1" thickTop="1" thickBot="1" x14ac:dyDescent="0.35">
      <c r="A184" s="46">
        <v>184</v>
      </c>
      <c r="B184" s="58" t="s">
        <v>181</v>
      </c>
      <c r="C184" s="58" t="s">
        <v>412</v>
      </c>
      <c r="D184" s="59">
        <v>46230</v>
      </c>
      <c r="E184" s="96">
        <v>21</v>
      </c>
      <c r="F184" s="114"/>
      <c r="G184" s="99">
        <f>Inventory_List_Table[[#This Row],[الكمية]]-Inventory_List_Table[[#This Row],[ الصادر ]]</f>
        <v>21</v>
      </c>
      <c r="H184" s="99"/>
    </row>
    <row r="185" spans="1:8" ht="24" hidden="1" customHeight="1" thickTop="1" thickBot="1" x14ac:dyDescent="0.35">
      <c r="A185" s="46">
        <v>185</v>
      </c>
      <c r="B185" s="58" t="s">
        <v>413</v>
      </c>
      <c r="C185" s="58" t="s">
        <v>414</v>
      </c>
      <c r="D185" s="59">
        <v>46218</v>
      </c>
      <c r="E185" s="96">
        <v>1</v>
      </c>
      <c r="F185" s="114"/>
      <c r="G185" s="99">
        <f>Inventory_List_Table[[#This Row],[الكمية]]-Inventory_List_Table[[#This Row],[ الصادر ]]</f>
        <v>1</v>
      </c>
      <c r="H185" s="99"/>
    </row>
    <row r="186" spans="1:8" ht="24" hidden="1" customHeight="1" thickTop="1" thickBot="1" x14ac:dyDescent="0.35">
      <c r="A186" s="46">
        <v>186</v>
      </c>
      <c r="B186" s="58" t="s">
        <v>182</v>
      </c>
      <c r="C186" s="58" t="s">
        <v>415</v>
      </c>
      <c r="D186" s="59">
        <v>46218</v>
      </c>
      <c r="E186" s="97">
        <v>1</v>
      </c>
      <c r="F186" s="114"/>
      <c r="G186" s="99">
        <f>Inventory_List_Table[[#This Row],[الكمية]]-Inventory_List_Table[[#This Row],[ الصادر ]]</f>
        <v>1</v>
      </c>
      <c r="H186" s="99"/>
    </row>
    <row r="187" spans="1:8" ht="24" hidden="1" customHeight="1" thickTop="1" thickBot="1" x14ac:dyDescent="0.35">
      <c r="A187" s="46">
        <v>187</v>
      </c>
      <c r="B187" s="58" t="s">
        <v>183</v>
      </c>
      <c r="C187" s="58" t="s">
        <v>416</v>
      </c>
      <c r="D187" s="59">
        <v>46218</v>
      </c>
      <c r="E187" s="97">
        <v>1</v>
      </c>
      <c r="F187" s="114"/>
      <c r="G187" s="99">
        <f>Inventory_List_Table[[#This Row],[الكمية]]-Inventory_List_Table[[#This Row],[ الصادر ]]</f>
        <v>1</v>
      </c>
      <c r="H187" s="99"/>
    </row>
    <row r="188" spans="1:8" ht="24" hidden="1" customHeight="1" thickTop="1" thickBot="1" x14ac:dyDescent="0.35">
      <c r="A188" s="46">
        <v>188</v>
      </c>
      <c r="B188" s="58" t="s">
        <v>184</v>
      </c>
      <c r="C188" s="58" t="s">
        <v>417</v>
      </c>
      <c r="D188" s="59">
        <v>46218</v>
      </c>
      <c r="E188" s="96">
        <v>1</v>
      </c>
      <c r="F188" s="114"/>
      <c r="G188" s="99">
        <f>Inventory_List_Table[[#This Row],[الكمية]]-Inventory_List_Table[[#This Row],[ الصادر ]]</f>
        <v>1</v>
      </c>
      <c r="H188" s="99"/>
    </row>
    <row r="189" spans="1:8" ht="24" hidden="1" customHeight="1" thickTop="1" thickBot="1" x14ac:dyDescent="0.35">
      <c r="A189" s="46">
        <v>189</v>
      </c>
      <c r="B189" s="53" t="s">
        <v>705</v>
      </c>
      <c r="C189" s="113"/>
      <c r="D189" s="123">
        <v>46231</v>
      </c>
      <c r="E189" s="124">
        <v>40</v>
      </c>
      <c r="F189" s="181"/>
      <c r="G189" s="99">
        <f>Inventory_List_Table[[#This Row],[الكمية]]-Inventory_List_Table[[#This Row],[ الصادر ]]</f>
        <v>40</v>
      </c>
      <c r="H189" s="99"/>
    </row>
    <row r="190" spans="1:8" ht="24" hidden="1" customHeight="1" thickTop="1" thickBot="1" x14ac:dyDescent="0.35">
      <c r="A190" s="46">
        <v>190</v>
      </c>
      <c r="B190" s="53" t="s">
        <v>714</v>
      </c>
      <c r="C190" s="113"/>
      <c r="D190" s="123">
        <v>46231</v>
      </c>
      <c r="E190" s="124">
        <v>30</v>
      </c>
      <c r="F190" s="181"/>
      <c r="G190" s="99">
        <f>Inventory_List_Table[[#This Row],[الكمية]]-Inventory_List_Table[[#This Row],[ الصادر ]]</f>
        <v>30</v>
      </c>
      <c r="H190" s="99"/>
    </row>
    <row r="191" spans="1:8" ht="24" hidden="1" customHeight="1" thickTop="1" thickBot="1" x14ac:dyDescent="0.35">
      <c r="A191" s="46">
        <v>191</v>
      </c>
      <c r="B191" s="53" t="s">
        <v>727</v>
      </c>
      <c r="C191" s="27"/>
      <c r="D191" s="123">
        <v>46231</v>
      </c>
      <c r="E191" s="124">
        <v>40</v>
      </c>
      <c r="F191" s="183"/>
      <c r="G191" s="99">
        <f>Inventory_List_Table[[#This Row],[الكمية]]-Inventory_List_Table[[#This Row],[ الصادر ]]</f>
        <v>40</v>
      </c>
      <c r="H191" s="99"/>
    </row>
    <row r="192" spans="1:8" ht="24" hidden="1" customHeight="1" thickTop="1" thickBot="1" x14ac:dyDescent="0.35">
      <c r="A192" s="46">
        <v>192</v>
      </c>
      <c r="B192" s="53" t="s">
        <v>732</v>
      </c>
      <c r="C192" s="27"/>
      <c r="D192" s="123">
        <v>46231</v>
      </c>
      <c r="E192" s="124">
        <v>30</v>
      </c>
      <c r="F192" s="183"/>
      <c r="G192" s="99">
        <f>Inventory_List_Table[[#This Row],[الكمية]]-Inventory_List_Table[[#This Row],[ الصادر ]]</f>
        <v>30</v>
      </c>
      <c r="H192" s="99"/>
    </row>
    <row r="193" spans="1:8" ht="24" hidden="1" customHeight="1" thickTop="1" thickBot="1" x14ac:dyDescent="0.35">
      <c r="A193" s="46">
        <v>193</v>
      </c>
      <c r="B193" s="53" t="s">
        <v>730</v>
      </c>
      <c r="C193" s="27"/>
      <c r="D193" s="123">
        <v>46231</v>
      </c>
      <c r="E193" s="124">
        <v>30</v>
      </c>
      <c r="F193" s="183"/>
      <c r="G193" s="99">
        <f>Inventory_List_Table[[#This Row],[الكمية]]-Inventory_List_Table[[#This Row],[ الصادر ]]</f>
        <v>30</v>
      </c>
      <c r="H193" s="99"/>
    </row>
    <row r="194" spans="1:8" ht="24" hidden="1" customHeight="1" thickTop="1" thickBot="1" x14ac:dyDescent="0.35">
      <c r="A194" s="46">
        <v>194</v>
      </c>
      <c r="B194" s="53" t="s">
        <v>708</v>
      </c>
      <c r="C194" s="113"/>
      <c r="D194" s="123">
        <v>46231</v>
      </c>
      <c r="E194" s="124">
        <v>30</v>
      </c>
      <c r="F194" s="181"/>
      <c r="G194" s="99">
        <f>Inventory_List_Table[[#This Row],[الكمية]]-Inventory_List_Table[[#This Row],[ الصادر ]]</f>
        <v>30</v>
      </c>
      <c r="H194" s="99"/>
    </row>
    <row r="195" spans="1:8" ht="24" hidden="1" customHeight="1" thickTop="1" thickBot="1" x14ac:dyDescent="0.35">
      <c r="A195" s="46">
        <v>195</v>
      </c>
      <c r="B195" s="53" t="s">
        <v>735</v>
      </c>
      <c r="C195" s="27"/>
      <c r="D195" s="123">
        <v>46231</v>
      </c>
      <c r="E195" s="124">
        <v>2</v>
      </c>
      <c r="F195" s="183"/>
      <c r="G195" s="99">
        <f>Inventory_List_Table[[#This Row],[الكمية]]-Inventory_List_Table[[#This Row],[ الصادر ]]</f>
        <v>2</v>
      </c>
      <c r="H195" s="99"/>
    </row>
    <row r="196" spans="1:8" ht="24" hidden="1" customHeight="1" thickTop="1" thickBot="1" x14ac:dyDescent="0.35">
      <c r="A196" s="46">
        <v>196</v>
      </c>
      <c r="B196" s="112" t="s">
        <v>690</v>
      </c>
      <c r="C196" s="113"/>
      <c r="D196" s="59">
        <v>46231</v>
      </c>
      <c r="E196" s="109">
        <v>30</v>
      </c>
      <c r="F196" s="98"/>
      <c r="G196" s="99">
        <f>Inventory_List_Table[[#This Row],[الكمية]]-Inventory_List_Table[[#This Row],[ الصادر ]]</f>
        <v>30</v>
      </c>
      <c r="H196" s="99"/>
    </row>
    <row r="197" spans="1:8" ht="24" hidden="1" customHeight="1" thickTop="1" thickBot="1" x14ac:dyDescent="0.35">
      <c r="A197" s="46">
        <v>197</v>
      </c>
      <c r="B197" s="112" t="s">
        <v>688</v>
      </c>
      <c r="C197" s="113"/>
      <c r="D197" s="59">
        <v>46231</v>
      </c>
      <c r="E197" s="109">
        <v>48</v>
      </c>
      <c r="F197" s="98"/>
      <c r="G197" s="99">
        <f>Inventory_List_Table[[#This Row],[الكمية]]-Inventory_List_Table[[#This Row],[ الصادر ]]</f>
        <v>48</v>
      </c>
      <c r="H197" s="99"/>
    </row>
    <row r="198" spans="1:8" ht="24" hidden="1" customHeight="1" thickTop="1" thickBot="1" x14ac:dyDescent="0.35">
      <c r="A198" s="46">
        <v>198</v>
      </c>
      <c r="B198" s="135" t="s">
        <v>689</v>
      </c>
      <c r="C198" s="113"/>
      <c r="D198" s="59">
        <v>46231</v>
      </c>
      <c r="E198" s="109">
        <v>36</v>
      </c>
      <c r="F198" s="98">
        <v>2</v>
      </c>
      <c r="G198" s="99">
        <f>Inventory_List_Table[[#This Row],[الكمية]]-Inventory_List_Table[[#This Row],[ الصادر ]]</f>
        <v>34</v>
      </c>
      <c r="H198" s="99"/>
    </row>
    <row r="199" spans="1:8" ht="24" hidden="1" customHeight="1" thickTop="1" thickBot="1" x14ac:dyDescent="0.35">
      <c r="A199" s="46">
        <v>199</v>
      </c>
      <c r="B199" s="58" t="s">
        <v>185</v>
      </c>
      <c r="C199" s="58" t="s">
        <v>418</v>
      </c>
      <c r="D199" s="59">
        <v>46217</v>
      </c>
      <c r="E199" s="97">
        <v>5</v>
      </c>
      <c r="F199" s="114">
        <v>1</v>
      </c>
      <c r="G199" s="99">
        <f>Inventory_List_Table[[#This Row],[الكمية]]-Inventory_List_Table[[#This Row],[ الصادر ]]</f>
        <v>4</v>
      </c>
      <c r="H199" s="99"/>
    </row>
    <row r="200" spans="1:8" ht="24" hidden="1" customHeight="1" thickTop="1" thickBot="1" x14ac:dyDescent="0.35">
      <c r="A200" s="46">
        <v>200</v>
      </c>
      <c r="B200" s="58" t="s">
        <v>186</v>
      </c>
      <c r="C200" s="58" t="s">
        <v>419</v>
      </c>
      <c r="D200" s="59">
        <v>46218</v>
      </c>
      <c r="E200" s="97">
        <v>1</v>
      </c>
      <c r="F200" s="114"/>
      <c r="G200" s="99">
        <f>Inventory_List_Table[[#This Row],[الكمية]]-Inventory_List_Table[[#This Row],[ الصادر ]]</f>
        <v>1</v>
      </c>
      <c r="H200" s="99"/>
    </row>
    <row r="201" spans="1:8" ht="24" hidden="1" customHeight="1" thickTop="1" thickBot="1" x14ac:dyDescent="0.35">
      <c r="A201" s="46">
        <v>201</v>
      </c>
      <c r="B201" s="58" t="s">
        <v>187</v>
      </c>
      <c r="C201" s="58" t="s">
        <v>420</v>
      </c>
      <c r="D201" s="59">
        <v>46218</v>
      </c>
      <c r="E201" s="96">
        <v>1</v>
      </c>
      <c r="F201" s="114"/>
      <c r="G201" s="99">
        <f>Inventory_List_Table[[#This Row],[الكمية]]-Inventory_List_Table[[#This Row],[ الصادر ]]</f>
        <v>1</v>
      </c>
      <c r="H201" s="99"/>
    </row>
    <row r="202" spans="1:8" ht="24" hidden="1" customHeight="1" thickTop="1" thickBot="1" x14ac:dyDescent="0.35">
      <c r="A202" s="46">
        <v>202</v>
      </c>
      <c r="B202" s="53" t="s">
        <v>731</v>
      </c>
      <c r="C202" s="27"/>
      <c r="D202" s="123">
        <v>46231</v>
      </c>
      <c r="E202" s="124">
        <v>10</v>
      </c>
      <c r="F202" s="183"/>
      <c r="G202" s="99">
        <f>Inventory_List_Table[[#This Row],[الكمية]]-Inventory_List_Table[[#This Row],[ الصادر ]]</f>
        <v>10</v>
      </c>
      <c r="H202" s="99"/>
    </row>
    <row r="203" spans="1:8" ht="24" hidden="1" customHeight="1" thickTop="1" thickBot="1" x14ac:dyDescent="0.35">
      <c r="A203" s="46">
        <v>203</v>
      </c>
      <c r="B203" s="58" t="s">
        <v>421</v>
      </c>
      <c r="C203" s="58" t="s">
        <v>422</v>
      </c>
      <c r="D203" s="59">
        <v>46217</v>
      </c>
      <c r="E203" s="97">
        <v>1</v>
      </c>
      <c r="F203" s="114"/>
      <c r="G203" s="99">
        <f>Inventory_List_Table[[#This Row],[الكمية]]-Inventory_List_Table[[#This Row],[ الصادر ]]</f>
        <v>1</v>
      </c>
      <c r="H203" s="99"/>
    </row>
    <row r="204" spans="1:8" ht="24" hidden="1" customHeight="1" thickTop="1" thickBot="1" x14ac:dyDescent="0.35">
      <c r="A204" s="46">
        <v>204</v>
      </c>
      <c r="B204" s="58" t="s">
        <v>188</v>
      </c>
      <c r="C204" s="58" t="s">
        <v>423</v>
      </c>
      <c r="D204" s="59">
        <v>46217</v>
      </c>
      <c r="E204" s="96">
        <v>5</v>
      </c>
      <c r="F204" s="114">
        <v>1</v>
      </c>
      <c r="G204" s="99">
        <f>Inventory_List_Table[[#This Row],[الكمية]]-Inventory_List_Table[[#This Row],[ الصادر ]]</f>
        <v>4</v>
      </c>
      <c r="H204" s="99"/>
    </row>
    <row r="205" spans="1:8" ht="24" hidden="1" customHeight="1" thickTop="1" thickBot="1" x14ac:dyDescent="0.35">
      <c r="A205" s="46">
        <v>205</v>
      </c>
      <c r="B205" s="58" t="s">
        <v>424</v>
      </c>
      <c r="C205" s="58" t="s">
        <v>425</v>
      </c>
      <c r="D205" s="59">
        <v>46217</v>
      </c>
      <c r="E205" s="96">
        <v>1</v>
      </c>
      <c r="F205" s="114"/>
      <c r="G205" s="99">
        <f>Inventory_List_Table[[#This Row],[الكمية]]-Inventory_List_Table[[#This Row],[ الصادر ]]</f>
        <v>1</v>
      </c>
      <c r="H205" s="99"/>
    </row>
    <row r="206" spans="1:8" ht="24" hidden="1" customHeight="1" thickTop="1" thickBot="1" x14ac:dyDescent="0.35">
      <c r="A206" s="46">
        <v>206</v>
      </c>
      <c r="B206" s="58" t="s">
        <v>189</v>
      </c>
      <c r="C206" s="58" t="s">
        <v>426</v>
      </c>
      <c r="D206" s="59">
        <v>46217</v>
      </c>
      <c r="E206" s="97">
        <v>12</v>
      </c>
      <c r="F206" s="114"/>
      <c r="G206" s="99">
        <f>Inventory_List_Table[[#This Row],[الكمية]]-Inventory_List_Table[[#This Row],[ الصادر ]]</f>
        <v>12</v>
      </c>
      <c r="H206" s="99"/>
    </row>
    <row r="207" spans="1:8" ht="24" hidden="1" customHeight="1" thickTop="1" thickBot="1" x14ac:dyDescent="0.35">
      <c r="A207" s="46">
        <v>207</v>
      </c>
      <c r="B207" s="58" t="s">
        <v>190</v>
      </c>
      <c r="C207" s="58" t="s">
        <v>427</v>
      </c>
      <c r="D207" s="59">
        <v>46218</v>
      </c>
      <c r="E207" s="97">
        <v>1</v>
      </c>
      <c r="F207" s="114"/>
      <c r="G207" s="99">
        <f>Inventory_List_Table[[#This Row],[الكمية]]-Inventory_List_Table[[#This Row],[ الصادر ]]</f>
        <v>1</v>
      </c>
      <c r="H207" s="99"/>
    </row>
    <row r="208" spans="1:8" ht="24" hidden="1" customHeight="1" thickTop="1" thickBot="1" x14ac:dyDescent="0.35">
      <c r="A208" s="46">
        <v>208</v>
      </c>
      <c r="B208" s="58" t="s">
        <v>428</v>
      </c>
      <c r="C208" s="58" t="s">
        <v>429</v>
      </c>
      <c r="D208" s="59">
        <v>46217</v>
      </c>
      <c r="E208" s="96">
        <v>1</v>
      </c>
      <c r="F208" s="114"/>
      <c r="G208" s="99">
        <f>Inventory_List_Table[[#This Row],[الكمية]]-Inventory_List_Table[[#This Row],[ الصادر ]]</f>
        <v>1</v>
      </c>
      <c r="H208" s="99"/>
    </row>
    <row r="209" spans="1:8" ht="24" hidden="1" customHeight="1" thickTop="1" thickBot="1" x14ac:dyDescent="0.35">
      <c r="A209" s="46">
        <v>209</v>
      </c>
      <c r="B209" s="58" t="s">
        <v>430</v>
      </c>
      <c r="C209" s="58" t="s">
        <v>431</v>
      </c>
      <c r="D209" s="59">
        <v>46217</v>
      </c>
      <c r="E209" s="97">
        <v>1</v>
      </c>
      <c r="F209" s="114"/>
      <c r="G209" s="99">
        <f>Inventory_List_Table[[#This Row],[الكمية]]-Inventory_List_Table[[#This Row],[ الصادر ]]</f>
        <v>1</v>
      </c>
      <c r="H209" s="99"/>
    </row>
    <row r="210" spans="1:8" ht="24" hidden="1" customHeight="1" thickTop="1" thickBot="1" x14ac:dyDescent="0.35">
      <c r="A210" s="46">
        <v>210</v>
      </c>
      <c r="B210" s="58" t="s">
        <v>191</v>
      </c>
      <c r="C210" s="58" t="s">
        <v>432</v>
      </c>
      <c r="D210" s="59">
        <v>46217</v>
      </c>
      <c r="E210" s="96">
        <v>5</v>
      </c>
      <c r="F210" s="114">
        <v>1</v>
      </c>
      <c r="G210" s="99">
        <f>Inventory_List_Table[[#This Row],[الكمية]]-Inventory_List_Table[[#This Row],[ الصادر ]]</f>
        <v>4</v>
      </c>
      <c r="H210" s="99"/>
    </row>
    <row r="211" spans="1:8" ht="24" hidden="1" customHeight="1" thickTop="1" thickBot="1" x14ac:dyDescent="0.35">
      <c r="A211" s="46">
        <v>211</v>
      </c>
      <c r="B211" s="58" t="s">
        <v>192</v>
      </c>
      <c r="C211" s="58" t="s">
        <v>433</v>
      </c>
      <c r="D211" s="59">
        <v>46217</v>
      </c>
      <c r="E211" s="96">
        <v>1</v>
      </c>
      <c r="F211" s="114"/>
      <c r="G211" s="99">
        <f>Inventory_List_Table[[#This Row],[الكمية]]-Inventory_List_Table[[#This Row],[ الصادر ]]</f>
        <v>1</v>
      </c>
      <c r="H211" s="99"/>
    </row>
    <row r="212" spans="1:8" ht="24" hidden="1" customHeight="1" thickTop="1" thickBot="1" x14ac:dyDescent="0.35">
      <c r="A212" s="46">
        <v>212</v>
      </c>
      <c r="B212" s="58" t="s">
        <v>193</v>
      </c>
      <c r="C212" s="58" t="s">
        <v>434</v>
      </c>
      <c r="D212" s="59">
        <v>46219</v>
      </c>
      <c r="E212" s="97">
        <v>1</v>
      </c>
      <c r="F212" s="114"/>
      <c r="G212" s="99">
        <f>Inventory_List_Table[[#This Row],[الكمية]]-Inventory_List_Table[[#This Row],[ الصادر ]]</f>
        <v>1</v>
      </c>
      <c r="H212" s="99"/>
    </row>
    <row r="213" spans="1:8" ht="24" hidden="1" customHeight="1" thickTop="1" thickBot="1" x14ac:dyDescent="0.35">
      <c r="A213" s="46">
        <v>213</v>
      </c>
      <c r="B213" s="58" t="s">
        <v>64</v>
      </c>
      <c r="C213" s="58" t="s">
        <v>435</v>
      </c>
      <c r="D213" s="59">
        <v>46219</v>
      </c>
      <c r="E213" s="96">
        <v>1</v>
      </c>
      <c r="F213" s="114"/>
      <c r="G213" s="99">
        <f>Inventory_List_Table[[#This Row],[الكمية]]-Inventory_List_Table[[#This Row],[ الصادر ]]</f>
        <v>1</v>
      </c>
      <c r="H213" s="99"/>
    </row>
    <row r="214" spans="1:8" ht="24" hidden="1" customHeight="1" thickTop="1" thickBot="1" x14ac:dyDescent="0.35">
      <c r="A214" s="46">
        <v>214</v>
      </c>
      <c r="B214" s="58" t="s">
        <v>436</v>
      </c>
      <c r="C214" s="58"/>
      <c r="D214" s="59">
        <v>46218</v>
      </c>
      <c r="E214" s="97">
        <v>1</v>
      </c>
      <c r="F214" s="114"/>
      <c r="G214" s="99">
        <f>Inventory_List_Table[[#This Row],[الكمية]]-Inventory_List_Table[[#This Row],[ الصادر ]]</f>
        <v>1</v>
      </c>
      <c r="H214" s="99"/>
    </row>
    <row r="215" spans="1:8" ht="24" hidden="1" customHeight="1" thickTop="1" thickBot="1" x14ac:dyDescent="0.35">
      <c r="A215" s="46">
        <v>215</v>
      </c>
      <c r="B215" s="58" t="s">
        <v>194</v>
      </c>
      <c r="C215" s="58" t="s">
        <v>437</v>
      </c>
      <c r="D215" s="59">
        <v>46217</v>
      </c>
      <c r="E215" s="97">
        <v>1</v>
      </c>
      <c r="F215" s="114"/>
      <c r="G215" s="99">
        <f>Inventory_List_Table[[#This Row],[الكمية]]-Inventory_List_Table[[#This Row],[ الصادر ]]</f>
        <v>1</v>
      </c>
      <c r="H215" s="99"/>
    </row>
    <row r="216" spans="1:8" ht="24" hidden="1" customHeight="1" thickTop="1" thickBot="1" x14ac:dyDescent="0.35">
      <c r="A216" s="46">
        <v>216</v>
      </c>
      <c r="B216" s="63" t="s">
        <v>438</v>
      </c>
      <c r="C216" s="63" t="s">
        <v>439</v>
      </c>
      <c r="D216" s="59">
        <v>46223</v>
      </c>
      <c r="E216" s="96">
        <v>3</v>
      </c>
      <c r="F216" s="114">
        <v>1</v>
      </c>
      <c r="G216" s="99">
        <f>Inventory_List_Table[[#This Row],[الكمية]]-Inventory_List_Table[[#This Row],[ الصادر ]]</f>
        <v>2</v>
      </c>
      <c r="H216" s="99"/>
    </row>
    <row r="217" spans="1:8" ht="24" hidden="1" customHeight="1" thickTop="1" thickBot="1" x14ac:dyDescent="0.35">
      <c r="A217" s="46">
        <v>217</v>
      </c>
      <c r="B217" s="58" t="s">
        <v>195</v>
      </c>
      <c r="C217" s="58" t="s">
        <v>440</v>
      </c>
      <c r="D217" s="59">
        <v>46217</v>
      </c>
      <c r="E217" s="96">
        <v>1</v>
      </c>
      <c r="F217" s="114"/>
      <c r="G217" s="99">
        <f>Inventory_List_Table[[#This Row],[الكمية]]-Inventory_List_Table[[#This Row],[ الصادر ]]</f>
        <v>1</v>
      </c>
      <c r="H217" s="99"/>
    </row>
    <row r="218" spans="1:8" ht="24" hidden="1" customHeight="1" thickTop="1" thickBot="1" x14ac:dyDescent="0.35">
      <c r="A218" s="46">
        <v>218</v>
      </c>
      <c r="B218" s="118" t="s">
        <v>591</v>
      </c>
      <c r="C218" s="95" t="s">
        <v>592</v>
      </c>
      <c r="D218" s="99"/>
      <c r="E218" s="96">
        <v>1</v>
      </c>
      <c r="F218" s="115"/>
      <c r="G218" s="99">
        <f>Inventory_List_Table[[#This Row],[الكمية]]-Inventory_List_Table[[#This Row],[ الصادر ]]</f>
        <v>1</v>
      </c>
      <c r="H218" s="99"/>
    </row>
    <row r="219" spans="1:8" ht="24" hidden="1" customHeight="1" thickTop="1" thickBot="1" x14ac:dyDescent="0.35">
      <c r="A219" s="46">
        <v>219</v>
      </c>
      <c r="B219" s="63" t="s">
        <v>40</v>
      </c>
      <c r="C219" s="63"/>
      <c r="D219" s="59">
        <v>46231</v>
      </c>
      <c r="E219" s="97">
        <v>110</v>
      </c>
      <c r="F219" s="114"/>
      <c r="G219" s="99">
        <f>Inventory_List_Table[[#This Row],[الكمية]]-Inventory_List_Table[[#This Row],[ الصادر ]]</f>
        <v>110</v>
      </c>
      <c r="H219" s="99"/>
    </row>
    <row r="220" spans="1:8" ht="24" hidden="1" customHeight="1" thickTop="1" thickBot="1" x14ac:dyDescent="0.35">
      <c r="A220" s="46">
        <v>220</v>
      </c>
      <c r="B220" s="135" t="s">
        <v>674</v>
      </c>
      <c r="C220" s="113"/>
      <c r="D220" s="59">
        <v>46231</v>
      </c>
      <c r="E220" s="109">
        <v>150</v>
      </c>
      <c r="F220" s="98">
        <v>148</v>
      </c>
      <c r="G220" s="99">
        <f>Inventory_List_Table[[#This Row],[الكمية]]-Inventory_List_Table[[#This Row],[ الصادر ]]</f>
        <v>2</v>
      </c>
      <c r="H220" s="99"/>
    </row>
    <row r="221" spans="1:8" ht="24" hidden="1" customHeight="1" thickTop="1" thickBot="1" x14ac:dyDescent="0.35">
      <c r="A221" s="46">
        <v>221</v>
      </c>
      <c r="B221" s="63" t="s">
        <v>196</v>
      </c>
      <c r="C221" s="63"/>
      <c r="D221" s="59">
        <v>46219</v>
      </c>
      <c r="E221" s="96">
        <v>10</v>
      </c>
      <c r="F221" s="114"/>
      <c r="G221" s="99">
        <f>Inventory_List_Table[[#This Row],[الكمية]]-Inventory_List_Table[[#This Row],[ الصادر ]]</f>
        <v>10</v>
      </c>
      <c r="H221" s="99"/>
    </row>
    <row r="222" spans="1:8" ht="24" hidden="1" customHeight="1" thickTop="1" thickBot="1" x14ac:dyDescent="0.35">
      <c r="A222" s="46">
        <v>222</v>
      </c>
      <c r="B222" s="58" t="s">
        <v>197</v>
      </c>
      <c r="C222" s="58"/>
      <c r="D222" s="59">
        <v>46217</v>
      </c>
      <c r="E222" s="97">
        <v>11</v>
      </c>
      <c r="F222" s="114"/>
      <c r="G222" s="99">
        <f>Inventory_List_Table[[#This Row],[الكمية]]-Inventory_List_Table[[#This Row],[ الصادر ]]</f>
        <v>11</v>
      </c>
      <c r="H222" s="99"/>
    </row>
    <row r="223" spans="1:8" ht="24" hidden="1" customHeight="1" thickTop="1" thickBot="1" x14ac:dyDescent="0.35">
      <c r="A223" s="46">
        <v>223</v>
      </c>
      <c r="B223" s="58" t="s">
        <v>198</v>
      </c>
      <c r="C223" s="58"/>
      <c r="D223" s="59">
        <v>46217</v>
      </c>
      <c r="E223" s="97">
        <v>11</v>
      </c>
      <c r="F223" s="114"/>
      <c r="G223" s="99">
        <f>Inventory_List_Table[[#This Row],[الكمية]]-Inventory_List_Table[[#This Row],[ الصادر ]]</f>
        <v>11</v>
      </c>
      <c r="H223" s="99"/>
    </row>
    <row r="224" spans="1:8" ht="24" hidden="1" customHeight="1" thickTop="1" thickBot="1" x14ac:dyDescent="0.35">
      <c r="A224" s="46">
        <v>224</v>
      </c>
      <c r="B224" s="53" t="s">
        <v>734</v>
      </c>
      <c r="C224" s="27"/>
      <c r="D224" s="123">
        <v>46231</v>
      </c>
      <c r="E224" s="124">
        <v>6</v>
      </c>
      <c r="F224" s="183"/>
      <c r="G224" s="99">
        <f>Inventory_List_Table[[#This Row],[الكمية]]-Inventory_List_Table[[#This Row],[ الصادر ]]</f>
        <v>6</v>
      </c>
      <c r="H224" s="99"/>
    </row>
    <row r="225" spans="1:8" ht="24" hidden="1" customHeight="1" thickTop="1" thickBot="1" x14ac:dyDescent="0.35">
      <c r="A225" s="46">
        <v>225</v>
      </c>
      <c r="B225" s="53" t="s">
        <v>742</v>
      </c>
      <c r="C225" s="27"/>
      <c r="D225" s="123">
        <v>46231</v>
      </c>
      <c r="E225" s="124">
        <v>1</v>
      </c>
      <c r="F225" s="183"/>
      <c r="G225" s="99">
        <f>Inventory_List_Table[[#This Row],[الكمية]]-Inventory_List_Table[[#This Row],[ الصادر ]]</f>
        <v>1</v>
      </c>
      <c r="H225" s="99"/>
    </row>
    <row r="226" spans="1:8" ht="24" hidden="1" customHeight="1" thickTop="1" thickBot="1" x14ac:dyDescent="0.35">
      <c r="A226" s="46">
        <v>226</v>
      </c>
      <c r="B226" s="58" t="s">
        <v>199</v>
      </c>
      <c r="C226" s="58"/>
      <c r="D226" s="59">
        <v>46219</v>
      </c>
      <c r="E226" s="97">
        <v>1</v>
      </c>
      <c r="F226" s="114"/>
      <c r="G226" s="99">
        <f>Inventory_List_Table[[#This Row],[الكمية]]-Inventory_List_Table[[#This Row],[ الصادر ]]</f>
        <v>1</v>
      </c>
      <c r="H226" s="99"/>
    </row>
    <row r="227" spans="1:8" ht="24" hidden="1" customHeight="1" thickTop="1" thickBot="1" x14ac:dyDescent="0.35">
      <c r="A227" s="46">
        <v>227</v>
      </c>
      <c r="B227" s="112" t="s">
        <v>670</v>
      </c>
      <c r="C227" s="113"/>
      <c r="D227" s="59">
        <v>46231</v>
      </c>
      <c r="E227" s="109">
        <v>5</v>
      </c>
      <c r="F227" s="115"/>
      <c r="G227" s="99">
        <f>Inventory_List_Table[[#This Row],[الكمية]]-Inventory_List_Table[[#This Row],[ الصادر ]]</f>
        <v>5</v>
      </c>
      <c r="H227" s="99"/>
    </row>
    <row r="228" spans="1:8" ht="24" hidden="1" customHeight="1" thickTop="1" thickBot="1" x14ac:dyDescent="0.35">
      <c r="A228" s="46">
        <v>228</v>
      </c>
      <c r="B228" s="63" t="s">
        <v>200</v>
      </c>
      <c r="C228" s="63"/>
      <c r="D228" s="59">
        <v>46231</v>
      </c>
      <c r="E228" s="96">
        <v>10</v>
      </c>
      <c r="F228" s="114"/>
      <c r="G228" s="99">
        <f>Inventory_List_Table[[#This Row],[الكمية]]-Inventory_List_Table[[#This Row],[ الصادر ]]</f>
        <v>10</v>
      </c>
      <c r="H228" s="99"/>
    </row>
    <row r="229" spans="1:8" ht="24" hidden="1" customHeight="1" thickTop="1" thickBot="1" x14ac:dyDescent="0.35">
      <c r="A229" s="46">
        <v>229</v>
      </c>
      <c r="B229" s="112" t="s">
        <v>671</v>
      </c>
      <c r="C229" s="113"/>
      <c r="D229" s="59">
        <v>46231</v>
      </c>
      <c r="E229" s="109">
        <v>20</v>
      </c>
      <c r="F229" s="98"/>
      <c r="G229" s="99">
        <f>Inventory_List_Table[[#This Row],[الكمية]]-Inventory_List_Table[[#This Row],[ الصادر ]]</f>
        <v>20</v>
      </c>
      <c r="H229" s="99"/>
    </row>
    <row r="230" spans="1:8" ht="24" hidden="1" customHeight="1" thickTop="1" thickBot="1" x14ac:dyDescent="0.35">
      <c r="A230" s="46">
        <v>230</v>
      </c>
      <c r="B230" s="53" t="s">
        <v>722</v>
      </c>
      <c r="C230" s="27"/>
      <c r="D230" s="123">
        <v>46231</v>
      </c>
      <c r="E230" s="124">
        <v>30</v>
      </c>
      <c r="F230" s="183"/>
      <c r="G230" s="99">
        <f>Inventory_List_Table[[#This Row],[الكمية]]-Inventory_List_Table[[#This Row],[ الصادر ]]</f>
        <v>30</v>
      </c>
      <c r="H230" s="99"/>
    </row>
    <row r="231" spans="1:8" ht="24" hidden="1" customHeight="1" thickTop="1" thickBot="1" x14ac:dyDescent="0.35">
      <c r="A231" s="46">
        <v>231</v>
      </c>
      <c r="B231" s="53" t="s">
        <v>700</v>
      </c>
      <c r="C231" s="113"/>
      <c r="D231" s="123">
        <v>46231</v>
      </c>
      <c r="E231" s="124">
        <v>20</v>
      </c>
      <c r="F231" s="181"/>
      <c r="G231" s="99">
        <f>Inventory_List_Table[[#This Row],[الكمية]]-Inventory_List_Table[[#This Row],[ الصادر ]]</f>
        <v>20</v>
      </c>
      <c r="H231" s="99"/>
    </row>
    <row r="232" spans="1:8" ht="24" hidden="1" customHeight="1" thickTop="1" thickBot="1" x14ac:dyDescent="0.35">
      <c r="A232" s="46">
        <v>232</v>
      </c>
      <c r="B232" s="53" t="s">
        <v>715</v>
      </c>
      <c r="C232" s="113"/>
      <c r="D232" s="123">
        <v>46231</v>
      </c>
      <c r="E232" s="124">
        <v>20</v>
      </c>
      <c r="F232" s="181"/>
      <c r="G232" s="99">
        <f>Inventory_List_Table[[#This Row],[الكمية]]-Inventory_List_Table[[#This Row],[ الصادر ]]</f>
        <v>20</v>
      </c>
      <c r="H232" s="99"/>
    </row>
    <row r="233" spans="1:8" ht="24" hidden="1" customHeight="1" thickTop="1" thickBot="1" x14ac:dyDescent="0.35">
      <c r="A233" s="46">
        <v>233</v>
      </c>
      <c r="B233" s="58" t="s">
        <v>273</v>
      </c>
      <c r="C233" s="58" t="s">
        <v>441</v>
      </c>
      <c r="D233" s="59">
        <v>46217</v>
      </c>
      <c r="E233" s="96">
        <v>1</v>
      </c>
      <c r="F233" s="114"/>
      <c r="G233" s="99">
        <f>Inventory_List_Table[[#This Row],[الكمية]]-Inventory_List_Table[[#This Row],[ الصادر ]]</f>
        <v>1</v>
      </c>
      <c r="H233" s="99"/>
    </row>
    <row r="234" spans="1:8" ht="24" hidden="1" customHeight="1" thickTop="1" thickBot="1" x14ac:dyDescent="0.35">
      <c r="A234" s="46">
        <v>234</v>
      </c>
      <c r="B234" s="58" t="s">
        <v>201</v>
      </c>
      <c r="C234" s="58"/>
      <c r="D234" s="59">
        <v>46217</v>
      </c>
      <c r="E234" s="97">
        <v>1</v>
      </c>
      <c r="F234" s="114">
        <v>1</v>
      </c>
      <c r="G234" s="99">
        <f>Inventory_List_Table[[#This Row],[الكمية]]-Inventory_List_Table[[#This Row],[ الصادر ]]</f>
        <v>0</v>
      </c>
      <c r="H234" s="99"/>
    </row>
    <row r="235" spans="1:8" ht="24" hidden="1" customHeight="1" thickTop="1" thickBot="1" x14ac:dyDescent="0.35">
      <c r="A235" s="46">
        <v>235</v>
      </c>
      <c r="B235" s="58" t="s">
        <v>202</v>
      </c>
      <c r="C235" s="58" t="s">
        <v>442</v>
      </c>
      <c r="D235" s="59">
        <v>46217</v>
      </c>
      <c r="E235" s="97">
        <v>3</v>
      </c>
      <c r="F235" s="114">
        <v>2</v>
      </c>
      <c r="G235" s="99">
        <f>Inventory_List_Table[[#This Row],[الكمية]]-Inventory_List_Table[[#This Row],[ الصادر ]]</f>
        <v>1</v>
      </c>
      <c r="H235" s="99"/>
    </row>
    <row r="236" spans="1:8" ht="24" hidden="1" customHeight="1" thickTop="1" thickBot="1" x14ac:dyDescent="0.35">
      <c r="A236" s="46">
        <v>236</v>
      </c>
      <c r="B236" s="58" t="s">
        <v>203</v>
      </c>
      <c r="C236" s="58" t="s">
        <v>443</v>
      </c>
      <c r="D236" s="59">
        <v>46230</v>
      </c>
      <c r="E236" s="96">
        <v>21</v>
      </c>
      <c r="F236" s="114"/>
      <c r="G236" s="99">
        <f>Inventory_List_Table[[#This Row],[الكمية]]-Inventory_List_Table[[#This Row],[ الصادر ]]</f>
        <v>21</v>
      </c>
      <c r="H236" s="99"/>
    </row>
    <row r="237" spans="1:8" ht="24" hidden="1" customHeight="1" thickTop="1" thickBot="1" x14ac:dyDescent="0.35">
      <c r="A237" s="46">
        <v>237</v>
      </c>
      <c r="B237" s="58" t="s">
        <v>204</v>
      </c>
      <c r="C237" s="58" t="s">
        <v>444</v>
      </c>
      <c r="D237" s="59">
        <v>46218</v>
      </c>
      <c r="E237" s="96">
        <v>1</v>
      </c>
      <c r="F237" s="114"/>
      <c r="G237" s="99">
        <f>Inventory_List_Table[[#This Row],[الكمية]]-Inventory_List_Table[[#This Row],[ الصادر ]]</f>
        <v>1</v>
      </c>
      <c r="H237" s="99"/>
    </row>
    <row r="238" spans="1:8" ht="24" hidden="1" customHeight="1" thickTop="1" thickBot="1" x14ac:dyDescent="0.35">
      <c r="A238" s="46">
        <v>238</v>
      </c>
      <c r="B238" s="58" t="s">
        <v>205</v>
      </c>
      <c r="C238" s="58" t="s">
        <v>445</v>
      </c>
      <c r="D238" s="59">
        <v>46218</v>
      </c>
      <c r="E238" s="96">
        <v>1</v>
      </c>
      <c r="F238" s="114"/>
      <c r="G238" s="99">
        <f>Inventory_List_Table[[#This Row],[الكمية]]-Inventory_List_Table[[#This Row],[ الصادر ]]</f>
        <v>1</v>
      </c>
      <c r="H238" s="99"/>
    </row>
    <row r="239" spans="1:8" ht="24" hidden="1" customHeight="1" thickTop="1" thickBot="1" x14ac:dyDescent="0.35">
      <c r="A239" s="46">
        <v>239</v>
      </c>
      <c r="B239" s="58" t="s">
        <v>206</v>
      </c>
      <c r="C239" s="58" t="s">
        <v>446</v>
      </c>
      <c r="D239" s="59">
        <v>46217</v>
      </c>
      <c r="E239" s="96">
        <v>5</v>
      </c>
      <c r="F239" s="114">
        <v>1</v>
      </c>
      <c r="G239" s="99">
        <f>Inventory_List_Table[[#This Row],[الكمية]]-Inventory_List_Table[[#This Row],[ الصادر ]]</f>
        <v>4</v>
      </c>
      <c r="H239" s="99"/>
    </row>
    <row r="240" spans="1:8" ht="24" hidden="1" customHeight="1" thickTop="1" thickBot="1" x14ac:dyDescent="0.35">
      <c r="A240" s="46">
        <v>240</v>
      </c>
      <c r="B240" s="58" t="s">
        <v>207</v>
      </c>
      <c r="C240" s="58"/>
      <c r="D240" s="59">
        <v>46218</v>
      </c>
      <c r="E240" s="97">
        <v>1</v>
      </c>
      <c r="F240" s="114"/>
      <c r="G240" s="99">
        <f>Inventory_List_Table[[#This Row],[الكمية]]-Inventory_List_Table[[#This Row],[ الصادر ]]</f>
        <v>1</v>
      </c>
      <c r="H240" s="99"/>
    </row>
    <row r="241" spans="1:8" ht="24" hidden="1" customHeight="1" thickTop="1" thickBot="1" x14ac:dyDescent="0.35">
      <c r="A241" s="46">
        <v>241</v>
      </c>
      <c r="B241" s="175" t="s">
        <v>37</v>
      </c>
      <c r="C241" s="95"/>
      <c r="D241" s="95"/>
      <c r="E241" s="96">
        <v>100</v>
      </c>
      <c r="F241" s="114">
        <v>100</v>
      </c>
      <c r="G241" s="99">
        <f>Inventory_List_Table[[#This Row],[الكمية]]-Inventory_List_Table[[#This Row],[ الصادر ]]</f>
        <v>0</v>
      </c>
      <c r="H241" s="99"/>
    </row>
    <row r="242" spans="1:8" ht="24" hidden="1" customHeight="1" thickTop="1" thickBot="1" x14ac:dyDescent="0.35">
      <c r="A242" s="46">
        <v>242</v>
      </c>
      <c r="B242" s="58" t="s">
        <v>208</v>
      </c>
      <c r="C242" s="58"/>
      <c r="D242" s="59">
        <v>46218</v>
      </c>
      <c r="E242" s="96">
        <v>1</v>
      </c>
      <c r="F242" s="114"/>
      <c r="G242" s="99">
        <f>Inventory_List_Table[[#This Row],[الكمية]]-Inventory_List_Table[[#This Row],[ الصادر ]]</f>
        <v>1</v>
      </c>
      <c r="H242" s="99"/>
    </row>
    <row r="243" spans="1:8" ht="24" hidden="1" customHeight="1" thickTop="1" thickBot="1" x14ac:dyDescent="0.35">
      <c r="A243" s="46">
        <v>243</v>
      </c>
      <c r="B243" s="53" t="s">
        <v>709</v>
      </c>
      <c r="C243" s="113"/>
      <c r="D243" s="123">
        <v>46231</v>
      </c>
      <c r="E243" s="124">
        <v>50</v>
      </c>
      <c r="F243" s="181"/>
      <c r="G243" s="99">
        <f>Inventory_List_Table[[#This Row],[الكمية]]-Inventory_List_Table[[#This Row],[ الصادر ]]</f>
        <v>50</v>
      </c>
      <c r="H243" s="99"/>
    </row>
    <row r="244" spans="1:8" ht="24" hidden="1" customHeight="1" thickTop="1" thickBot="1" x14ac:dyDescent="0.35">
      <c r="A244" s="46">
        <v>244</v>
      </c>
      <c r="B244" s="63" t="s">
        <v>658</v>
      </c>
      <c r="C244" s="95"/>
      <c r="D244" s="106">
        <v>46230</v>
      </c>
      <c r="E244" s="96">
        <v>25</v>
      </c>
      <c r="F244" s="98">
        <v>21</v>
      </c>
      <c r="G244" s="99">
        <f>Inventory_List_Table[[#This Row],[الكمية]]-Inventory_List_Table[[#This Row],[ الصادر ]]</f>
        <v>4</v>
      </c>
      <c r="H244" s="99"/>
    </row>
    <row r="245" spans="1:8" ht="24" hidden="1" customHeight="1" thickTop="1" thickBot="1" x14ac:dyDescent="0.35">
      <c r="A245" s="46">
        <v>245</v>
      </c>
      <c r="B245" s="53" t="s">
        <v>729</v>
      </c>
      <c r="C245" s="27"/>
      <c r="D245" s="123">
        <v>46231</v>
      </c>
      <c r="E245" s="124">
        <v>50</v>
      </c>
      <c r="F245" s="183"/>
      <c r="G245" s="99">
        <f>Inventory_List_Table[[#This Row],[الكمية]]-Inventory_List_Table[[#This Row],[ الصادر ]]</f>
        <v>50</v>
      </c>
      <c r="H245" s="99"/>
    </row>
    <row r="246" spans="1:8" ht="24" hidden="1" customHeight="1" thickTop="1" thickBot="1" x14ac:dyDescent="0.35">
      <c r="A246" s="46">
        <v>246</v>
      </c>
      <c r="B246" s="58" t="s">
        <v>209</v>
      </c>
      <c r="C246" s="58" t="s">
        <v>447</v>
      </c>
      <c r="D246" s="59">
        <v>46218</v>
      </c>
      <c r="E246" s="96">
        <v>1</v>
      </c>
      <c r="F246" s="114"/>
      <c r="G246" s="99">
        <f>Inventory_List_Table[[#This Row],[الكمية]]-Inventory_List_Table[[#This Row],[ الصادر ]]</f>
        <v>1</v>
      </c>
      <c r="H246" s="99"/>
    </row>
    <row r="247" spans="1:8" ht="24" hidden="1" customHeight="1" thickTop="1" thickBot="1" x14ac:dyDescent="0.35">
      <c r="A247" s="46">
        <v>247</v>
      </c>
      <c r="B247" s="112" t="s">
        <v>673</v>
      </c>
      <c r="C247" s="113"/>
      <c r="D247" s="59">
        <v>46231</v>
      </c>
      <c r="E247" s="109">
        <v>50</v>
      </c>
      <c r="F247" s="98"/>
      <c r="G247" s="99">
        <f>Inventory_List_Table[[#This Row],[الكمية]]-Inventory_List_Table[[#This Row],[ الصادر ]]</f>
        <v>50</v>
      </c>
      <c r="H247" s="99"/>
    </row>
    <row r="248" spans="1:8" ht="24" hidden="1" customHeight="1" thickTop="1" thickBot="1" x14ac:dyDescent="0.35">
      <c r="A248" s="46">
        <v>248</v>
      </c>
      <c r="B248" s="58" t="s">
        <v>210</v>
      </c>
      <c r="C248" s="58" t="s">
        <v>448</v>
      </c>
      <c r="D248" s="59">
        <v>46218</v>
      </c>
      <c r="E248" s="96">
        <v>1</v>
      </c>
      <c r="F248" s="114"/>
      <c r="G248" s="99">
        <f>Inventory_List_Table[[#This Row],[الكمية]]-Inventory_List_Table[[#This Row],[ الصادر ]]</f>
        <v>1</v>
      </c>
      <c r="H248" s="99"/>
    </row>
    <row r="249" spans="1:8" ht="24" hidden="1" customHeight="1" thickTop="1" thickBot="1" x14ac:dyDescent="0.35">
      <c r="A249" s="46">
        <v>249</v>
      </c>
      <c r="B249" s="66" t="s">
        <v>449</v>
      </c>
      <c r="C249" s="58"/>
      <c r="D249" s="59">
        <v>46218</v>
      </c>
      <c r="E249" s="97">
        <v>1</v>
      </c>
      <c r="F249" s="114"/>
      <c r="G249" s="99">
        <f>Inventory_List_Table[[#This Row],[الكمية]]-Inventory_List_Table[[#This Row],[ الصادر ]]</f>
        <v>1</v>
      </c>
      <c r="H249" s="99"/>
    </row>
    <row r="250" spans="1:8" ht="24" hidden="1" customHeight="1" thickTop="1" thickBot="1" x14ac:dyDescent="0.35">
      <c r="A250" s="46">
        <v>250</v>
      </c>
      <c r="B250" s="173" t="s">
        <v>717</v>
      </c>
      <c r="C250" s="113"/>
      <c r="D250" s="123">
        <v>46231</v>
      </c>
      <c r="E250" s="124">
        <v>51</v>
      </c>
      <c r="F250" s="181"/>
      <c r="G250" s="99">
        <f>Inventory_List_Table[[#This Row],[الكمية]]-Inventory_List_Table[[#This Row],[ الصادر ]]</f>
        <v>51</v>
      </c>
      <c r="H250" s="99"/>
    </row>
    <row r="251" spans="1:8" ht="24" hidden="1" customHeight="1" thickTop="1" thickBot="1" x14ac:dyDescent="0.35">
      <c r="A251" s="46">
        <v>251</v>
      </c>
      <c r="B251" s="120" t="s">
        <v>633</v>
      </c>
      <c r="C251" s="105" t="s">
        <v>632</v>
      </c>
      <c r="D251" s="106">
        <v>46229</v>
      </c>
      <c r="E251" s="96">
        <v>30</v>
      </c>
      <c r="F251" s="114">
        <v>25</v>
      </c>
      <c r="G251" s="99">
        <f>Inventory_List_Table[[#This Row],[الكمية]]-Inventory_List_Table[[#This Row],[ الصادر ]]</f>
        <v>5</v>
      </c>
      <c r="H251" s="99"/>
    </row>
    <row r="252" spans="1:8" ht="24" hidden="1" customHeight="1" thickTop="1" thickBot="1" x14ac:dyDescent="0.35">
      <c r="A252" s="46">
        <v>252</v>
      </c>
      <c r="B252" s="67" t="s">
        <v>211</v>
      </c>
      <c r="C252" s="58" t="s">
        <v>450</v>
      </c>
      <c r="D252" s="59">
        <v>46217</v>
      </c>
      <c r="E252" s="97">
        <v>5</v>
      </c>
      <c r="F252" s="114"/>
      <c r="G252" s="99">
        <f>Inventory_List_Table[[#This Row],[الكمية]]-Inventory_List_Table[[#This Row],[ الصادر ]]</f>
        <v>5</v>
      </c>
      <c r="H252" s="99"/>
    </row>
    <row r="253" spans="1:8" ht="24" hidden="1" customHeight="1" thickTop="1" thickBot="1" x14ac:dyDescent="0.35">
      <c r="A253" s="46">
        <v>253</v>
      </c>
      <c r="B253" s="67" t="s">
        <v>212</v>
      </c>
      <c r="C253" s="58" t="s">
        <v>451</v>
      </c>
      <c r="D253" s="59">
        <v>46217</v>
      </c>
      <c r="E253" s="97">
        <v>11</v>
      </c>
      <c r="F253" s="114">
        <v>1</v>
      </c>
      <c r="G253" s="99">
        <f>Inventory_List_Table[[#This Row],[الكمية]]-Inventory_List_Table[[#This Row],[ الصادر ]]</f>
        <v>10</v>
      </c>
      <c r="H253" s="99"/>
    </row>
    <row r="254" spans="1:8" ht="24" hidden="1" customHeight="1" thickTop="1" thickBot="1" x14ac:dyDescent="0.35">
      <c r="A254" s="46">
        <v>254</v>
      </c>
      <c r="B254" s="179" t="s">
        <v>669</v>
      </c>
      <c r="C254" s="113"/>
      <c r="D254" s="59">
        <v>46231</v>
      </c>
      <c r="E254" s="109">
        <v>60</v>
      </c>
      <c r="F254" s="98">
        <v>10</v>
      </c>
      <c r="G254" s="99">
        <f>Inventory_List_Table[[#This Row],[الكمية]]-Inventory_List_Table[[#This Row],[ الصادر ]]</f>
        <v>50</v>
      </c>
      <c r="H254" s="99"/>
    </row>
    <row r="255" spans="1:8" ht="24" hidden="1" customHeight="1" thickTop="1" thickBot="1" x14ac:dyDescent="0.35">
      <c r="A255" s="46">
        <v>255</v>
      </c>
      <c r="B255" s="179" t="s">
        <v>666</v>
      </c>
      <c r="C255" s="113"/>
      <c r="D255" s="59">
        <v>46231</v>
      </c>
      <c r="E255" s="109">
        <v>100</v>
      </c>
      <c r="F255" s="98">
        <f ca="1">Inventory_List_Table[[#This Row],[الكمية]]-Inventory_List_Table[[#This Row],[ الصادر ]]</f>
        <v>0</v>
      </c>
      <c r="G255" s="99">
        <f ca="1">Inventory_List_Table[[#This Row],[الكمية]]-Inventory_List_Table[[#This Row],[ الصادر ]]</f>
        <v>1</v>
      </c>
      <c r="H255" s="99"/>
    </row>
    <row r="256" spans="1:8" ht="24" customHeight="1" thickTop="1" thickBot="1" x14ac:dyDescent="0.35">
      <c r="A256" s="46">
        <v>256</v>
      </c>
      <c r="B256" s="169" t="s">
        <v>720</v>
      </c>
      <c r="C256" s="27"/>
      <c r="D256" s="123">
        <v>46231</v>
      </c>
      <c r="E256" s="124">
        <v>30</v>
      </c>
      <c r="F256" s="183"/>
      <c r="G256" s="99">
        <f>Inventory_List_Table[[#This Row],[الكمية]]-Inventory_List_Table[[#This Row],[ الصادر ]]</f>
        <v>30</v>
      </c>
      <c r="H256" s="99"/>
    </row>
    <row r="257" spans="1:8" ht="24" customHeight="1" thickTop="1" thickBot="1" x14ac:dyDescent="0.35">
      <c r="A257" s="46">
        <v>257</v>
      </c>
      <c r="B257" s="169" t="s">
        <v>697</v>
      </c>
      <c r="C257" s="113"/>
      <c r="D257" s="123">
        <v>46231</v>
      </c>
      <c r="E257" s="124">
        <v>60</v>
      </c>
      <c r="F257" s="181"/>
      <c r="G257" s="99">
        <f>Inventory_List_Table[[#This Row],[الكمية]]-Inventory_List_Table[[#This Row],[ الصادر ]]</f>
        <v>60</v>
      </c>
      <c r="H257" s="99"/>
    </row>
    <row r="258" spans="1:8" ht="24" customHeight="1" thickTop="1" thickBot="1" x14ac:dyDescent="0.35">
      <c r="A258" s="46">
        <v>258</v>
      </c>
      <c r="B258" s="169" t="s">
        <v>724</v>
      </c>
      <c r="C258" s="27"/>
      <c r="D258" s="123">
        <v>46231</v>
      </c>
      <c r="E258" s="124">
        <v>60</v>
      </c>
      <c r="F258" s="183"/>
      <c r="G258" s="99">
        <f>Inventory_List_Table[[#This Row],[الكمية]]-Inventory_List_Table[[#This Row],[ الصادر ]]</f>
        <v>60</v>
      </c>
      <c r="H258" s="99"/>
    </row>
    <row r="259" spans="1:8" ht="24" hidden="1" customHeight="1" thickTop="1" thickBot="1" x14ac:dyDescent="0.35">
      <c r="A259" s="46">
        <v>259</v>
      </c>
      <c r="B259" s="119" t="s">
        <v>213</v>
      </c>
      <c r="C259" s="58"/>
      <c r="D259" s="59">
        <v>46219</v>
      </c>
      <c r="E259" s="96">
        <v>1</v>
      </c>
      <c r="F259" s="114"/>
      <c r="G259" s="99">
        <f>Inventory_List_Table[[#This Row],[الكمية]]-Inventory_List_Table[[#This Row],[ الصادر ]]</f>
        <v>1</v>
      </c>
      <c r="H259" s="99"/>
    </row>
    <row r="260" spans="1:8" ht="24" hidden="1" customHeight="1" thickTop="1" thickBot="1" x14ac:dyDescent="0.35">
      <c r="A260" s="46">
        <v>260</v>
      </c>
      <c r="B260" s="119" t="s">
        <v>214</v>
      </c>
      <c r="C260" s="58"/>
      <c r="D260" s="59">
        <v>46219</v>
      </c>
      <c r="E260" s="97">
        <v>1</v>
      </c>
      <c r="F260" s="114"/>
      <c r="G260" s="99">
        <f>Inventory_List_Table[[#This Row],[الكمية]]-Inventory_List_Table[[#This Row],[ الصادر ]]</f>
        <v>1</v>
      </c>
      <c r="H260" s="99"/>
    </row>
    <row r="261" spans="1:8" ht="24" customHeight="1" thickTop="1" thickBot="1" x14ac:dyDescent="0.35">
      <c r="A261" s="46">
        <v>261</v>
      </c>
      <c r="B261" s="119" t="s">
        <v>452</v>
      </c>
      <c r="C261" s="58" t="s">
        <v>453</v>
      </c>
      <c r="D261" s="59">
        <v>46219</v>
      </c>
      <c r="E261" s="97">
        <v>4</v>
      </c>
      <c r="F261" s="114"/>
      <c r="G261" s="99">
        <f>Inventory_List_Table[[#This Row],[الكمية]]-Inventory_List_Table[[#This Row],[ الصادر ]]</f>
        <v>4</v>
      </c>
      <c r="H261" s="99"/>
    </row>
    <row r="262" spans="1:8" ht="24" customHeight="1" thickTop="1" thickBot="1" x14ac:dyDescent="0.35">
      <c r="A262" s="46">
        <v>262</v>
      </c>
      <c r="B262" s="119" t="s">
        <v>454</v>
      </c>
      <c r="C262" s="58" t="s">
        <v>455</v>
      </c>
      <c r="D262" s="59">
        <v>46219</v>
      </c>
      <c r="E262" s="96">
        <v>4</v>
      </c>
      <c r="F262" s="114"/>
      <c r="G262" s="99">
        <f>Inventory_List_Table[[#This Row],[الكمية]]-Inventory_List_Table[[#This Row],[ الصادر ]]</f>
        <v>4</v>
      </c>
      <c r="H262" s="99"/>
    </row>
    <row r="263" spans="1:8" ht="24" customHeight="1" thickTop="1" thickBot="1" x14ac:dyDescent="0.35">
      <c r="A263" s="46">
        <v>263</v>
      </c>
      <c r="B263" s="119" t="s">
        <v>456</v>
      </c>
      <c r="C263" s="58" t="s">
        <v>457</v>
      </c>
      <c r="D263" s="59">
        <v>46219</v>
      </c>
      <c r="E263" s="97">
        <v>6</v>
      </c>
      <c r="F263" s="114"/>
      <c r="G263" s="99">
        <f>Inventory_List_Table[[#This Row],[الكمية]]-Inventory_List_Table[[#This Row],[ الصادر ]]</f>
        <v>6</v>
      </c>
      <c r="H263" s="99"/>
    </row>
    <row r="264" spans="1:8" ht="24" hidden="1" customHeight="1" thickTop="1" thickBot="1" x14ac:dyDescent="0.35">
      <c r="A264" s="46">
        <v>264</v>
      </c>
      <c r="B264" s="169" t="s">
        <v>699</v>
      </c>
      <c r="C264" s="113"/>
      <c r="D264" s="123">
        <v>46231</v>
      </c>
      <c r="E264" s="124">
        <v>100</v>
      </c>
      <c r="F264" s="181"/>
      <c r="G264" s="99">
        <f>Inventory_List_Table[[#This Row],[الكمية]]-Inventory_List_Table[[#This Row],[ الصادر ]]</f>
        <v>100</v>
      </c>
      <c r="H264" s="99"/>
    </row>
    <row r="265" spans="1:8" ht="24" hidden="1" customHeight="1" thickTop="1" thickBot="1" x14ac:dyDescent="0.35">
      <c r="A265" s="46">
        <v>265</v>
      </c>
      <c r="B265" s="169" t="s">
        <v>718</v>
      </c>
      <c r="C265" s="27"/>
      <c r="D265" s="123">
        <v>46231</v>
      </c>
      <c r="E265" s="124">
        <v>50</v>
      </c>
      <c r="F265" s="183"/>
      <c r="G265" s="99">
        <f>Inventory_List_Table[[#This Row],[الكمية]]-Inventory_List_Table[[#This Row],[ الصادر ]]</f>
        <v>50</v>
      </c>
      <c r="H265" s="99"/>
    </row>
    <row r="266" spans="1:8" ht="24" hidden="1" customHeight="1" thickTop="1" thickBot="1" x14ac:dyDescent="0.35">
      <c r="A266" s="46">
        <v>266</v>
      </c>
      <c r="B266" s="131" t="s">
        <v>679</v>
      </c>
      <c r="C266" s="113"/>
      <c r="D266" s="132">
        <v>46231</v>
      </c>
      <c r="E266" s="130">
        <v>16</v>
      </c>
      <c r="F266" s="98">
        <v>6</v>
      </c>
      <c r="G266" s="99">
        <f>Inventory_List_Table[[#This Row],[الكمية]]-Inventory_List_Table[[#This Row],[ الصادر ]]</f>
        <v>10</v>
      </c>
      <c r="H266" s="99"/>
    </row>
    <row r="267" spans="1:8" ht="24" hidden="1" customHeight="1" thickTop="1" thickBot="1" x14ac:dyDescent="0.35">
      <c r="A267" s="46">
        <v>267</v>
      </c>
      <c r="B267" s="119" t="s">
        <v>215</v>
      </c>
      <c r="C267" s="58" t="s">
        <v>458</v>
      </c>
      <c r="D267" s="59">
        <v>46217</v>
      </c>
      <c r="E267" s="96">
        <v>5</v>
      </c>
      <c r="F267" s="114">
        <v>1</v>
      </c>
      <c r="G267" s="99">
        <f>Inventory_List_Table[[#This Row],[الكمية]]-Inventory_List_Table[[#This Row],[ الصادر ]]</f>
        <v>4</v>
      </c>
      <c r="H267" s="99"/>
    </row>
    <row r="268" spans="1:8" ht="24" customHeight="1" thickTop="1" thickBot="1" x14ac:dyDescent="0.35">
      <c r="A268" s="46">
        <v>268</v>
      </c>
      <c r="B268" s="176" t="s">
        <v>712</v>
      </c>
      <c r="C268" s="113"/>
      <c r="D268" s="123">
        <v>46231</v>
      </c>
      <c r="E268" s="124">
        <v>50</v>
      </c>
      <c r="F268" s="181"/>
      <c r="G268" s="99">
        <f>Inventory_List_Table[[#This Row],[الكمية]]-Inventory_List_Table[[#This Row],[ الصادر ]]</f>
        <v>50</v>
      </c>
      <c r="H268" s="99"/>
    </row>
    <row r="269" spans="1:8" ht="24" customHeight="1" thickTop="1" thickBot="1" x14ac:dyDescent="0.35">
      <c r="A269" s="46">
        <v>269</v>
      </c>
      <c r="B269" s="176" t="s">
        <v>726</v>
      </c>
      <c r="C269" s="27"/>
      <c r="D269" s="123">
        <v>46231</v>
      </c>
      <c r="E269" s="124">
        <v>50</v>
      </c>
      <c r="F269" s="183"/>
      <c r="G269" s="99">
        <f>Inventory_List_Table[[#This Row],[الكمية]]-Inventory_List_Table[[#This Row],[ الصادر ]]</f>
        <v>50</v>
      </c>
      <c r="H269" s="99"/>
    </row>
    <row r="270" spans="1:8" ht="24" customHeight="1" thickTop="1" thickBot="1" x14ac:dyDescent="0.35">
      <c r="A270" s="46">
        <v>270</v>
      </c>
      <c r="B270" s="169" t="s">
        <v>707</v>
      </c>
      <c r="C270" s="113"/>
      <c r="D270" s="123">
        <v>46231</v>
      </c>
      <c r="E270" s="124">
        <v>50</v>
      </c>
      <c r="F270" s="181"/>
      <c r="G270" s="99">
        <f>Inventory_List_Table[[#This Row],[الكمية]]-Inventory_List_Table[[#This Row],[ الصادر ]]</f>
        <v>50</v>
      </c>
      <c r="H270" s="99"/>
    </row>
    <row r="271" spans="1:8" ht="24" hidden="1" customHeight="1" thickTop="1" thickBot="1" x14ac:dyDescent="0.35">
      <c r="A271" s="46">
        <v>271</v>
      </c>
      <c r="B271" s="122" t="s">
        <v>589</v>
      </c>
      <c r="C271" s="63" t="s">
        <v>590</v>
      </c>
      <c r="D271" s="99"/>
      <c r="E271" s="96">
        <v>1</v>
      </c>
      <c r="F271" s="115"/>
      <c r="G271" s="99">
        <f>Inventory_List_Table[[#This Row],[الكمية]]-Inventory_List_Table[[#This Row],[ الصادر ]]</f>
        <v>1</v>
      </c>
      <c r="H271" s="99"/>
    </row>
    <row r="272" spans="1:8" ht="24" hidden="1" customHeight="1" thickTop="1" thickBot="1" x14ac:dyDescent="0.35">
      <c r="A272" s="46">
        <v>272</v>
      </c>
      <c r="B272" s="122" t="s">
        <v>587</v>
      </c>
      <c r="C272" s="63" t="s">
        <v>588</v>
      </c>
      <c r="D272" s="101"/>
      <c r="E272" s="96">
        <v>1</v>
      </c>
      <c r="F272" s="115"/>
      <c r="G272" s="99">
        <f>Inventory_List_Table[[#This Row],[الكمية]]-Inventory_List_Table[[#This Row],[ الصادر ]]</f>
        <v>1</v>
      </c>
      <c r="H272" s="99"/>
    </row>
    <row r="273" spans="1:8" ht="24" hidden="1" customHeight="1" thickTop="1" thickBot="1" x14ac:dyDescent="0.35">
      <c r="A273" s="46">
        <v>273</v>
      </c>
      <c r="B273" s="169" t="s">
        <v>695</v>
      </c>
      <c r="C273" s="113"/>
      <c r="D273" s="123">
        <v>46231</v>
      </c>
      <c r="E273" s="124">
        <v>50</v>
      </c>
      <c r="F273" s="181"/>
      <c r="G273" s="99">
        <f>Inventory_List_Table[[#This Row],[الكمية]]-Inventory_List_Table[[#This Row],[ الصادر ]]</f>
        <v>50</v>
      </c>
      <c r="H273" s="99"/>
    </row>
    <row r="274" spans="1:8" ht="24" hidden="1" customHeight="1" thickTop="1" thickBot="1" x14ac:dyDescent="0.35">
      <c r="A274" s="46">
        <v>274</v>
      </c>
      <c r="B274" s="119" t="s">
        <v>459</v>
      </c>
      <c r="C274" s="58" t="s">
        <v>460</v>
      </c>
      <c r="D274" s="59">
        <v>46219</v>
      </c>
      <c r="E274" s="97">
        <v>1</v>
      </c>
      <c r="F274" s="114"/>
      <c r="G274" s="99">
        <f>Inventory_List_Table[[#This Row],[الكمية]]-Inventory_List_Table[[#This Row],[ الصادر ]]</f>
        <v>1</v>
      </c>
      <c r="H274" s="99"/>
    </row>
    <row r="275" spans="1:8" ht="24" hidden="1" customHeight="1" thickTop="1" thickBot="1" x14ac:dyDescent="0.35">
      <c r="A275" s="46">
        <v>275</v>
      </c>
      <c r="B275" s="180" t="s">
        <v>665</v>
      </c>
      <c r="C275" s="113"/>
      <c r="D275" s="59">
        <v>46231</v>
      </c>
      <c r="E275" s="109">
        <v>50</v>
      </c>
      <c r="F275" s="98">
        <v>5</v>
      </c>
      <c r="G275" s="99">
        <f>Inventory_List_Table[[#This Row],[الكمية]]-Inventory_List_Table[[#This Row],[ الصادر ]]</f>
        <v>45</v>
      </c>
      <c r="H275" s="99"/>
    </row>
    <row r="276" spans="1:8" ht="24" hidden="1" customHeight="1" thickTop="1" thickBot="1" x14ac:dyDescent="0.35">
      <c r="A276" s="46">
        <v>276</v>
      </c>
      <c r="B276" s="119" t="s">
        <v>216</v>
      </c>
      <c r="C276" s="58" t="s">
        <v>461</v>
      </c>
      <c r="D276" s="59">
        <v>46218</v>
      </c>
      <c r="E276" s="97">
        <v>2</v>
      </c>
      <c r="F276" s="114">
        <v>1</v>
      </c>
      <c r="G276" s="99">
        <f>Inventory_List_Table[[#This Row],[الكمية]]-Inventory_List_Table[[#This Row],[ الصادر ]]</f>
        <v>1</v>
      </c>
      <c r="H276" s="99"/>
    </row>
    <row r="277" spans="1:8" ht="24" customHeight="1" thickTop="1" thickBot="1" x14ac:dyDescent="0.35">
      <c r="A277" s="46">
        <v>277</v>
      </c>
      <c r="B277" s="169" t="s">
        <v>704</v>
      </c>
      <c r="C277" s="113"/>
      <c r="D277" s="123">
        <v>46231</v>
      </c>
      <c r="E277" s="124">
        <v>30</v>
      </c>
      <c r="F277" s="181"/>
      <c r="G277" s="99">
        <f>Inventory_List_Table[[#This Row],[الكمية]]-Inventory_List_Table[[#This Row],[ الصادر ]]</f>
        <v>30</v>
      </c>
      <c r="H277" s="99"/>
    </row>
    <row r="278" spans="1:8" ht="24" hidden="1" customHeight="1" thickTop="1" thickBot="1" x14ac:dyDescent="0.35">
      <c r="A278" s="46">
        <v>278</v>
      </c>
      <c r="B278" s="119" t="s">
        <v>217</v>
      </c>
      <c r="C278" s="58" t="s">
        <v>462</v>
      </c>
      <c r="D278" s="59">
        <v>46218</v>
      </c>
      <c r="E278" s="97">
        <v>1</v>
      </c>
      <c r="F278" s="121"/>
      <c r="G278" s="99">
        <f>Inventory_List_Table[[#This Row],[الكمية]]-Inventory_List_Table[[#This Row],[ الصادر ]]</f>
        <v>1</v>
      </c>
      <c r="H278" s="99"/>
    </row>
    <row r="279" spans="1:8" ht="24" hidden="1" customHeight="1" thickTop="1" thickBot="1" x14ac:dyDescent="0.35">
      <c r="A279" s="46">
        <v>279</v>
      </c>
      <c r="B279" s="119" t="s">
        <v>218</v>
      </c>
      <c r="C279" s="58" t="s">
        <v>463</v>
      </c>
      <c r="D279" s="59">
        <v>46218</v>
      </c>
      <c r="E279" s="96">
        <v>1</v>
      </c>
      <c r="F279" s="121"/>
      <c r="G279" s="99">
        <f>Inventory_List_Table[[#This Row],[الكمية]]-Inventory_List_Table[[#This Row],[ الصادر ]]</f>
        <v>1</v>
      </c>
      <c r="H279" s="99"/>
    </row>
    <row r="280" spans="1:8" ht="24" hidden="1" customHeight="1" thickTop="1" thickBot="1" x14ac:dyDescent="0.35">
      <c r="A280" s="46">
        <v>280</v>
      </c>
      <c r="B280" s="119" t="s">
        <v>219</v>
      </c>
      <c r="C280" s="58" t="s">
        <v>464</v>
      </c>
      <c r="D280" s="59">
        <v>46218</v>
      </c>
      <c r="E280" s="96">
        <v>1</v>
      </c>
      <c r="F280" s="121"/>
      <c r="G280" s="99">
        <f>Inventory_List_Table[[#This Row],[الكمية]]-Inventory_List_Table[[#This Row],[ الصادر ]]</f>
        <v>1</v>
      </c>
      <c r="H280" s="99"/>
    </row>
    <row r="281" spans="1:8" ht="24" hidden="1" customHeight="1" thickTop="1" thickBot="1" x14ac:dyDescent="0.35">
      <c r="A281" s="46">
        <v>281</v>
      </c>
      <c r="B281" s="119" t="s">
        <v>220</v>
      </c>
      <c r="C281" s="58" t="s">
        <v>465</v>
      </c>
      <c r="D281" s="59">
        <v>46217</v>
      </c>
      <c r="E281" s="96">
        <v>1</v>
      </c>
      <c r="F281" s="114"/>
      <c r="G281" s="99">
        <f>Inventory_List_Table[[#This Row],[الكمية]]-Inventory_List_Table[[#This Row],[ الصادر ]]</f>
        <v>1</v>
      </c>
      <c r="H281" s="99"/>
    </row>
    <row r="282" spans="1:8" ht="24" hidden="1" customHeight="1" thickTop="1" thickBot="1" x14ac:dyDescent="0.35">
      <c r="A282" s="46">
        <v>282</v>
      </c>
      <c r="B282" s="119" t="s">
        <v>10</v>
      </c>
      <c r="C282" s="58" t="s">
        <v>466</v>
      </c>
      <c r="D282" s="59">
        <v>46219</v>
      </c>
      <c r="E282" s="97">
        <v>5</v>
      </c>
      <c r="F282" s="121"/>
      <c r="G282" s="99">
        <f>Inventory_List_Table[[#This Row],[الكمية]]-Inventory_List_Table[[#This Row],[ الصادر ]]</f>
        <v>5</v>
      </c>
      <c r="H282" s="99"/>
    </row>
    <row r="283" spans="1:8" ht="24" hidden="1" customHeight="1" thickTop="1" thickBot="1" x14ac:dyDescent="0.35">
      <c r="A283" s="46">
        <v>283</v>
      </c>
      <c r="B283" s="119" t="s">
        <v>467</v>
      </c>
      <c r="C283" s="58" t="s">
        <v>468</v>
      </c>
      <c r="D283" s="59">
        <v>46218</v>
      </c>
      <c r="E283" s="96">
        <v>1</v>
      </c>
      <c r="F283" s="121"/>
      <c r="G283" s="99">
        <f>Inventory_List_Table[[#This Row],[الكمية]]-Inventory_List_Table[[#This Row],[ الصادر ]]</f>
        <v>1</v>
      </c>
      <c r="H283" s="99"/>
    </row>
    <row r="284" spans="1:8" ht="24" hidden="1" customHeight="1" thickTop="1" thickBot="1" x14ac:dyDescent="0.35">
      <c r="A284" s="46">
        <v>284</v>
      </c>
      <c r="B284" s="112" t="s">
        <v>664</v>
      </c>
      <c r="C284" s="113"/>
      <c r="D284" s="59">
        <v>46231</v>
      </c>
      <c r="E284" s="109">
        <v>50</v>
      </c>
      <c r="F284" s="99">
        <f ca="1">Inventory_List_Table[[#This Row],[الكمية]]-Inventory_List_Table[[#This Row],[ الصادر ]]</f>
        <v>0</v>
      </c>
      <c r="G284" s="99">
        <f ca="1">Inventory_List_Table[[#This Row],[الكمية]]-Inventory_List_Table[[#This Row],[ الصادر ]]</f>
        <v>1</v>
      </c>
      <c r="H284" s="99"/>
    </row>
    <row r="285" spans="1:8" ht="24" hidden="1" customHeight="1" thickTop="1" thickBot="1" x14ac:dyDescent="0.35">
      <c r="A285" s="46">
        <v>285</v>
      </c>
      <c r="B285" s="119" t="s">
        <v>221</v>
      </c>
      <c r="C285" s="58" t="s">
        <v>469</v>
      </c>
      <c r="D285" s="59">
        <v>46217</v>
      </c>
      <c r="E285" s="96">
        <v>1</v>
      </c>
      <c r="F285" s="121"/>
      <c r="G285" s="99">
        <f>Inventory_List_Table[[#This Row],[الكمية]]-Inventory_List_Table[[#This Row],[ الصادر ]]</f>
        <v>1</v>
      </c>
      <c r="H285" s="99"/>
    </row>
    <row r="286" spans="1:8" ht="24" hidden="1" customHeight="1" thickTop="1" thickBot="1" x14ac:dyDescent="0.35">
      <c r="A286" s="46">
        <v>286</v>
      </c>
      <c r="B286" s="119" t="s">
        <v>470</v>
      </c>
      <c r="C286" s="58" t="s">
        <v>471</v>
      </c>
      <c r="D286" s="59">
        <v>46217</v>
      </c>
      <c r="E286" s="97">
        <v>1</v>
      </c>
      <c r="F286" s="121"/>
      <c r="G286" s="99">
        <f>Inventory_List_Table[[#This Row],[الكمية]]-Inventory_List_Table[[#This Row],[ الصادر ]]</f>
        <v>1</v>
      </c>
      <c r="H286" s="99"/>
    </row>
    <row r="287" spans="1:8" ht="24" hidden="1" customHeight="1" thickTop="1" thickBot="1" x14ac:dyDescent="0.35">
      <c r="A287" s="46">
        <v>287</v>
      </c>
      <c r="B287" s="58" t="s">
        <v>223</v>
      </c>
      <c r="C287" s="58" t="s">
        <v>472</v>
      </c>
      <c r="D287" s="59">
        <v>46218</v>
      </c>
      <c r="E287" s="96">
        <v>1</v>
      </c>
      <c r="F287" s="121"/>
      <c r="G287" s="99">
        <f>Inventory_List_Table[[#This Row],[الكمية]]-Inventory_List_Table[[#This Row],[ الصادر ]]</f>
        <v>1</v>
      </c>
      <c r="H287" s="99"/>
    </row>
    <row r="288" spans="1:8" ht="24" hidden="1" customHeight="1" thickTop="1" thickBot="1" x14ac:dyDescent="0.35">
      <c r="A288" s="46">
        <v>288</v>
      </c>
      <c r="B288" s="112" t="s">
        <v>663</v>
      </c>
      <c r="C288" s="113"/>
      <c r="D288" s="59">
        <v>46231</v>
      </c>
      <c r="E288" s="109">
        <v>50</v>
      </c>
      <c r="F288" s="109">
        <v>10</v>
      </c>
      <c r="G288" s="99">
        <f>Inventory_List_Table[[#This Row],[الكمية]]-Inventory_List_Table[[#This Row],[ الصادر ]]</f>
        <v>40</v>
      </c>
      <c r="H288" s="99"/>
    </row>
    <row r="289" spans="1:8" ht="24" hidden="1" customHeight="1" thickTop="1" thickBot="1" x14ac:dyDescent="0.35">
      <c r="A289" s="46">
        <v>289</v>
      </c>
      <c r="B289" s="58" t="s">
        <v>224</v>
      </c>
      <c r="C289" s="58" t="s">
        <v>473</v>
      </c>
      <c r="D289" s="59">
        <v>46218</v>
      </c>
      <c r="E289" s="97">
        <v>1</v>
      </c>
      <c r="F289" s="121"/>
      <c r="G289" s="99">
        <f>Inventory_List_Table[[#This Row],[الكمية]]-Inventory_List_Table[[#This Row],[ الصادر ]]</f>
        <v>1</v>
      </c>
      <c r="H289" s="99"/>
    </row>
    <row r="290" spans="1:8" ht="24" hidden="1" customHeight="1" thickTop="1" thickBot="1" x14ac:dyDescent="0.35">
      <c r="A290" s="46">
        <v>290</v>
      </c>
      <c r="B290" s="58" t="s">
        <v>474</v>
      </c>
      <c r="C290" s="58" t="s">
        <v>475</v>
      </c>
      <c r="D290" s="59">
        <v>46218</v>
      </c>
      <c r="E290" s="96">
        <v>1</v>
      </c>
      <c r="F290" s="121"/>
      <c r="G290" s="99">
        <f>Inventory_List_Table[[#This Row],[الكمية]]-Inventory_List_Table[[#This Row],[ الصادر ]]</f>
        <v>1</v>
      </c>
      <c r="H290" s="99"/>
    </row>
    <row r="291" spans="1:8" ht="24" hidden="1" customHeight="1" thickTop="1" thickBot="1" x14ac:dyDescent="0.35">
      <c r="A291" s="46">
        <v>291</v>
      </c>
      <c r="B291" s="58" t="s">
        <v>225</v>
      </c>
      <c r="C291" s="58" t="s">
        <v>476</v>
      </c>
      <c r="D291" s="59">
        <v>46218</v>
      </c>
      <c r="E291" s="97">
        <v>1</v>
      </c>
      <c r="F291" s="121"/>
      <c r="G291" s="99">
        <f>Inventory_List_Table[[#This Row],[الكمية]]-Inventory_List_Table[[#This Row],[ الصادر ]]</f>
        <v>1</v>
      </c>
      <c r="H291" s="99"/>
    </row>
    <row r="292" spans="1:8" ht="24" hidden="1" customHeight="1" thickTop="1" thickBot="1" x14ac:dyDescent="0.35">
      <c r="A292" s="46">
        <v>292</v>
      </c>
      <c r="B292" s="58" t="s">
        <v>226</v>
      </c>
      <c r="C292" s="58" t="s">
        <v>477</v>
      </c>
      <c r="D292" s="59">
        <v>46219</v>
      </c>
      <c r="E292" s="96">
        <v>6</v>
      </c>
      <c r="F292" s="121">
        <v>2</v>
      </c>
      <c r="G292" s="99">
        <f>Inventory_List_Table[[#This Row],[الكمية]]-Inventory_List_Table[[#This Row],[ الصادر ]]</f>
        <v>4</v>
      </c>
      <c r="H292" s="99"/>
    </row>
    <row r="293" spans="1:8" ht="24" hidden="1" customHeight="1" thickTop="1" thickBot="1" x14ac:dyDescent="0.35">
      <c r="A293" s="46">
        <v>293</v>
      </c>
      <c r="B293" s="58" t="s">
        <v>227</v>
      </c>
      <c r="C293" s="58" t="s">
        <v>478</v>
      </c>
      <c r="D293" s="59">
        <v>46219</v>
      </c>
      <c r="E293" s="96">
        <v>6</v>
      </c>
      <c r="F293" s="121">
        <v>1</v>
      </c>
      <c r="G293" s="99">
        <f>Inventory_List_Table[[#This Row],[الكمية]]-Inventory_List_Table[[#This Row],[ الصادر ]]</f>
        <v>5</v>
      </c>
      <c r="H293" s="99"/>
    </row>
    <row r="294" spans="1:8" ht="24" hidden="1" customHeight="1" thickTop="1" thickBot="1" x14ac:dyDescent="0.35">
      <c r="A294" s="46">
        <v>294</v>
      </c>
      <c r="B294" s="58" t="s">
        <v>12</v>
      </c>
      <c r="C294" s="58" t="s">
        <v>479</v>
      </c>
      <c r="D294" s="59">
        <v>46219</v>
      </c>
      <c r="E294" s="97">
        <v>1</v>
      </c>
      <c r="F294" s="121"/>
      <c r="G294" s="99">
        <f>Inventory_List_Table[[#This Row],[الكمية]]-Inventory_List_Table[[#This Row],[ الصادر ]]</f>
        <v>1</v>
      </c>
      <c r="H294" s="99"/>
    </row>
    <row r="295" spans="1:8" ht="24" hidden="1" customHeight="1" thickTop="1" thickBot="1" x14ac:dyDescent="0.35">
      <c r="A295" s="46">
        <v>295</v>
      </c>
      <c r="B295" s="112" t="s">
        <v>677</v>
      </c>
      <c r="C295" s="113"/>
      <c r="D295" s="59">
        <v>46231</v>
      </c>
      <c r="E295" s="109">
        <v>60</v>
      </c>
      <c r="F295" s="99">
        <v>10</v>
      </c>
      <c r="G295" s="99">
        <f>Inventory_List_Table[[#This Row],[الكمية]]-Inventory_List_Table[[#This Row],[ الصادر ]]</f>
        <v>50</v>
      </c>
      <c r="H295" s="99"/>
    </row>
    <row r="296" spans="1:8" ht="24" hidden="1" customHeight="1" thickTop="1" thickBot="1" x14ac:dyDescent="0.35">
      <c r="A296" s="46">
        <v>296</v>
      </c>
      <c r="B296" s="58" t="s">
        <v>17</v>
      </c>
      <c r="C296" s="58" t="s">
        <v>480</v>
      </c>
      <c r="D296" s="59">
        <v>46219</v>
      </c>
      <c r="E296" s="97">
        <v>7</v>
      </c>
      <c r="F296" s="121">
        <v>1</v>
      </c>
      <c r="G296" s="99">
        <f>Inventory_List_Table[[#This Row],[الكمية]]-Inventory_List_Table[[#This Row],[ الصادر ]]</f>
        <v>6</v>
      </c>
      <c r="H296" s="99"/>
    </row>
    <row r="297" spans="1:8" ht="24" hidden="1" customHeight="1" thickTop="1" thickBot="1" x14ac:dyDescent="0.35">
      <c r="A297" s="46">
        <v>297</v>
      </c>
      <c r="B297" s="63" t="s">
        <v>481</v>
      </c>
      <c r="C297" s="63" t="s">
        <v>482</v>
      </c>
      <c r="D297" s="59">
        <v>46223</v>
      </c>
      <c r="E297" s="96">
        <v>3</v>
      </c>
      <c r="F297" s="121"/>
      <c r="G297" s="99">
        <f>Inventory_List_Table[[#This Row],[الكمية]]-Inventory_List_Table[[#This Row],[ الصادر ]]</f>
        <v>3</v>
      </c>
      <c r="H297" s="99"/>
    </row>
    <row r="298" spans="1:8" ht="24" hidden="1" customHeight="1" thickTop="1" thickBot="1" x14ac:dyDescent="0.35">
      <c r="A298" s="46">
        <v>298</v>
      </c>
      <c r="B298" s="118" t="s">
        <v>635</v>
      </c>
      <c r="C298" s="102"/>
      <c r="D298" s="104">
        <v>46229</v>
      </c>
      <c r="E298" s="96">
        <v>1</v>
      </c>
      <c r="F298" s="99">
        <f ca="1">Inventory_List_Table[[#This Row],[الكمية]]-Inventory_List_Table[[#This Row],[ الصادر ]]</f>
        <v>0</v>
      </c>
      <c r="G298" s="99">
        <f ca="1">Inventory_List_Table[[#This Row],[الكمية]]-Inventory_List_Table[[#This Row],[ الصادر ]]</f>
        <v>1</v>
      </c>
      <c r="H298" s="99"/>
    </row>
    <row r="299" spans="1:8" ht="24" hidden="1" customHeight="1" thickTop="1" thickBot="1" x14ac:dyDescent="0.35">
      <c r="A299" s="46">
        <v>299</v>
      </c>
      <c r="B299" s="118" t="s">
        <v>634</v>
      </c>
      <c r="C299" s="105"/>
      <c r="D299" s="104">
        <v>46229</v>
      </c>
      <c r="E299" s="96">
        <v>1</v>
      </c>
      <c r="F299" s="99">
        <f ca="1">Inventory_List_Table[[#This Row],[الكمية]]-Inventory_List_Table[[#This Row],[ الصادر ]]</f>
        <v>0</v>
      </c>
      <c r="G299" s="99">
        <f ca="1">Inventory_List_Table[[#This Row],[الكمية]]-Inventory_List_Table[[#This Row],[ الصادر ]]</f>
        <v>45</v>
      </c>
      <c r="H299" s="99"/>
    </row>
    <row r="300" spans="1:8" ht="24" hidden="1" customHeight="1" thickTop="1" thickBot="1" x14ac:dyDescent="0.35">
      <c r="A300" s="46">
        <v>300</v>
      </c>
      <c r="B300" s="63" t="s">
        <v>585</v>
      </c>
      <c r="C300" s="63" t="s">
        <v>586</v>
      </c>
      <c r="D300" s="99"/>
      <c r="E300" s="96">
        <v>2</v>
      </c>
      <c r="F300" s="99">
        <v>1</v>
      </c>
      <c r="G300" s="99">
        <f>Inventory_List_Table[[#This Row],[الكمية]]-Inventory_List_Table[[#This Row],[ الصادر ]]</f>
        <v>1</v>
      </c>
      <c r="H300" s="99"/>
    </row>
    <row r="301" spans="1:8" ht="7.5" hidden="1" customHeight="1" thickTop="1" thickBot="1" x14ac:dyDescent="0.35">
      <c r="A301" s="46">
        <v>301</v>
      </c>
      <c r="B301" s="63" t="s">
        <v>583</v>
      </c>
      <c r="C301" s="63" t="s">
        <v>584</v>
      </c>
      <c r="D301" s="101"/>
      <c r="E301" s="96">
        <v>1</v>
      </c>
      <c r="F301" s="99"/>
      <c r="G301" s="99">
        <f>Inventory_List_Table[[#This Row],[الكمية]]-Inventory_List_Table[[#This Row],[ الصادر ]]</f>
        <v>1</v>
      </c>
      <c r="H301" s="99"/>
    </row>
    <row r="302" spans="1:8" ht="24" hidden="1" customHeight="1" thickTop="1" thickBot="1" x14ac:dyDescent="0.35">
      <c r="A302" s="46">
        <v>302</v>
      </c>
      <c r="B302" s="53" t="s">
        <v>736</v>
      </c>
      <c r="C302" s="27"/>
      <c r="D302" s="123">
        <v>46231</v>
      </c>
      <c r="E302" s="124">
        <v>15</v>
      </c>
      <c r="F302" s="27"/>
      <c r="G302" s="99">
        <f>Inventory_List_Table[[#This Row],[الكمية]]-Inventory_List_Table[[#This Row],[ الصادر ]]</f>
        <v>15</v>
      </c>
      <c r="H302" s="99"/>
    </row>
    <row r="303" spans="1:8" ht="24" hidden="1" customHeight="1" thickTop="1" thickBot="1" x14ac:dyDescent="0.35">
      <c r="A303" s="46">
        <v>303</v>
      </c>
      <c r="B303" s="118" t="s">
        <v>649</v>
      </c>
      <c r="C303" s="105" t="s">
        <v>650</v>
      </c>
      <c r="D303" s="106">
        <v>46230</v>
      </c>
      <c r="E303" s="96">
        <v>10</v>
      </c>
      <c r="F303" s="99">
        <f ca="1">Inventory_List_Table[[#This Row],[الكمية]]-Inventory_List_Table[[#This Row],[ الصادر ]]</f>
        <v>0</v>
      </c>
      <c r="G303" s="99">
        <f ca="1">Inventory_List_Table[[#This Row],[الكمية]]-Inventory_List_Table[[#This Row],[ الصادر ]]</f>
        <v>1</v>
      </c>
      <c r="H303" s="99"/>
    </row>
    <row r="304" spans="1:8" ht="24" hidden="1" customHeight="1" thickTop="1" thickBot="1" x14ac:dyDescent="0.35">
      <c r="A304" s="46">
        <v>304</v>
      </c>
      <c r="B304" s="58" t="s">
        <v>228</v>
      </c>
      <c r="C304" s="58">
        <v>225</v>
      </c>
      <c r="D304" s="59">
        <v>46217</v>
      </c>
      <c r="E304" s="97">
        <v>10</v>
      </c>
      <c r="F304" s="121">
        <v>1</v>
      </c>
      <c r="G304" s="99">
        <f>Inventory_List_Table[[#This Row],[الكمية]]-Inventory_List_Table[[#This Row],[ الصادر ]]</f>
        <v>9</v>
      </c>
      <c r="H304" s="99"/>
    </row>
    <row r="305" spans="1:9" ht="24" hidden="1" customHeight="1" thickTop="1" thickBot="1" x14ac:dyDescent="0.35">
      <c r="A305" s="46">
        <v>305</v>
      </c>
      <c r="B305" s="53" t="s">
        <v>737</v>
      </c>
      <c r="C305" s="27"/>
      <c r="D305" s="123">
        <v>46231</v>
      </c>
      <c r="E305" s="124">
        <v>10</v>
      </c>
      <c r="F305" s="183"/>
      <c r="G305" s="99">
        <f>Inventory_List_Table[[#This Row],[الكمية]]-Inventory_List_Table[[#This Row],[ الصادر ]]</f>
        <v>10</v>
      </c>
      <c r="H305" s="99"/>
    </row>
    <row r="306" spans="1:9" ht="24" hidden="1" customHeight="1" thickTop="1" thickBot="1" x14ac:dyDescent="0.35">
      <c r="A306" s="46">
        <v>306</v>
      </c>
      <c r="B306" s="118" t="s">
        <v>648</v>
      </c>
      <c r="C306" s="105" t="s">
        <v>651</v>
      </c>
      <c r="D306" s="106">
        <v>46230</v>
      </c>
      <c r="E306" s="96">
        <v>10</v>
      </c>
      <c r="F306" s="99">
        <f ca="1">Inventory_List_Table[[#This Row],[الكمية]]-Inventory_List_Table[[#This Row],[ الصادر ]]</f>
        <v>0</v>
      </c>
      <c r="G306" s="99">
        <f ca="1">Inventory_List_Table[[#This Row],[الكمية]]-Inventory_List_Table[[#This Row],[ الصادر ]]</f>
        <v>50</v>
      </c>
      <c r="H306" s="99"/>
    </row>
    <row r="307" spans="1:9" ht="24" hidden="1" customHeight="1" thickTop="1" thickBot="1" x14ac:dyDescent="0.35">
      <c r="A307" s="46">
        <v>307</v>
      </c>
      <c r="B307" s="58" t="s">
        <v>229</v>
      </c>
      <c r="C307" s="58">
        <v>224</v>
      </c>
      <c r="D307" s="59">
        <v>46217</v>
      </c>
      <c r="E307" s="96">
        <v>10</v>
      </c>
      <c r="F307" s="121">
        <v>1</v>
      </c>
      <c r="G307" s="99">
        <f>Inventory_List_Table[[#This Row],[الكمية]]-Inventory_List_Table[[#This Row],[ الصادر ]]</f>
        <v>9</v>
      </c>
      <c r="H307" s="99"/>
    </row>
    <row r="308" spans="1:9" ht="24" hidden="1" customHeight="1" thickTop="1" thickBot="1" x14ac:dyDescent="0.35">
      <c r="A308" s="46">
        <v>308</v>
      </c>
      <c r="B308" s="53" t="s">
        <v>739</v>
      </c>
      <c r="C308" s="27"/>
      <c r="D308" s="123">
        <v>46231</v>
      </c>
      <c r="E308" s="124">
        <v>2</v>
      </c>
      <c r="F308" s="27"/>
      <c r="G308" s="99">
        <f>Inventory_List_Table[[#This Row],[الكمية]]-Inventory_List_Table[[#This Row],[ الصادر ]]</f>
        <v>2</v>
      </c>
      <c r="H308" s="99"/>
    </row>
    <row r="309" spans="1:9" ht="24" hidden="1" customHeight="1" thickTop="1" thickBot="1" x14ac:dyDescent="0.35">
      <c r="A309" s="46">
        <v>309</v>
      </c>
      <c r="B309" s="58" t="s">
        <v>230</v>
      </c>
      <c r="C309" s="58" t="s">
        <v>483</v>
      </c>
      <c r="D309" s="59">
        <v>46219</v>
      </c>
      <c r="E309" s="97">
        <v>1</v>
      </c>
      <c r="F309" s="121"/>
      <c r="G309" s="99">
        <f>Inventory_List_Table[[#This Row],[الكمية]]-Inventory_List_Table[[#This Row],[ الصادر ]]</f>
        <v>1</v>
      </c>
      <c r="H309" s="99"/>
    </row>
    <row r="310" spans="1:9" ht="24" hidden="1" customHeight="1" thickTop="1" thickBot="1" x14ac:dyDescent="0.35">
      <c r="A310" s="46">
        <v>310</v>
      </c>
      <c r="B310" s="118" t="s">
        <v>628</v>
      </c>
      <c r="C310" s="105" t="s">
        <v>625</v>
      </c>
      <c r="D310" s="104">
        <v>46229</v>
      </c>
      <c r="E310" s="96">
        <v>2</v>
      </c>
      <c r="F310" s="121">
        <v>1</v>
      </c>
      <c r="G310" s="99">
        <f>Inventory_List_Table[[#This Row],[الكمية]]-Inventory_List_Table[[#This Row],[ الصادر ]]</f>
        <v>1</v>
      </c>
      <c r="H310" s="99"/>
    </row>
    <row r="311" spans="1:9" ht="24" hidden="1" customHeight="1" thickTop="1" thickBot="1" x14ac:dyDescent="0.35">
      <c r="A311" s="46">
        <v>311</v>
      </c>
      <c r="B311" s="118" t="s">
        <v>630</v>
      </c>
      <c r="C311" s="105" t="s">
        <v>627</v>
      </c>
      <c r="D311" s="104">
        <v>46229</v>
      </c>
      <c r="E311" s="96">
        <v>1</v>
      </c>
      <c r="F311" s="99">
        <f ca="1">Inventory_List_Table[[#This Row],[الكمية]]-Inventory_List_Table[[#This Row],[ الصادر ]]</f>
        <v>0</v>
      </c>
      <c r="G311" s="99">
        <f ca="1">Inventory_List_Table[[#This Row],[الكمية]]-Inventory_List_Table[[#This Row],[ الصادر ]]</f>
        <v>20</v>
      </c>
      <c r="H311" s="99"/>
    </row>
    <row r="312" spans="1:9" ht="24" hidden="1" customHeight="1" thickTop="1" thickBot="1" x14ac:dyDescent="0.35">
      <c r="A312" s="46">
        <v>312</v>
      </c>
      <c r="B312" s="118" t="s">
        <v>631</v>
      </c>
      <c r="C312" s="105" t="s">
        <v>629</v>
      </c>
      <c r="D312" s="104">
        <v>46229</v>
      </c>
      <c r="E312" s="96">
        <v>1</v>
      </c>
      <c r="F312" s="99">
        <f ca="1">Inventory_List_Table[[#This Row],[الكمية]]-Inventory_List_Table[[#This Row],[ الصادر ]]</f>
        <v>0</v>
      </c>
      <c r="G312" s="99">
        <f ca="1">Inventory_List_Table[[#This Row],[الكمية]]-Inventory_List_Table[[#This Row],[ الصادر ]]</f>
        <v>50</v>
      </c>
      <c r="H312" s="99"/>
    </row>
    <row r="313" spans="1:9" ht="24" hidden="1" customHeight="1" thickTop="1" thickBot="1" x14ac:dyDescent="0.35">
      <c r="A313" s="46">
        <v>313</v>
      </c>
      <c r="B313" s="93" t="s">
        <v>231</v>
      </c>
      <c r="C313" s="58" t="s">
        <v>484</v>
      </c>
      <c r="D313" s="59">
        <v>46231</v>
      </c>
      <c r="E313" s="97">
        <v>5</v>
      </c>
      <c r="F313" s="121">
        <v>2</v>
      </c>
      <c r="G313" s="99">
        <f>Inventory_List_Table[[#This Row],[الكمية]]-Inventory_List_Table[[#This Row],[ الصادر ]]</f>
        <v>3</v>
      </c>
      <c r="H313" s="99"/>
    </row>
    <row r="314" spans="1:9" ht="24" hidden="1" customHeight="1" thickTop="1" thickBot="1" x14ac:dyDescent="0.35">
      <c r="A314" s="46">
        <v>314</v>
      </c>
      <c r="B314" s="118" t="s">
        <v>639</v>
      </c>
      <c r="C314" s="105" t="s">
        <v>626</v>
      </c>
      <c r="D314" s="104">
        <v>46229</v>
      </c>
      <c r="E314" s="96">
        <v>1</v>
      </c>
      <c r="F314" s="99">
        <f ca="1">Inventory_List_Table[[#This Row],[الكمية]]-Inventory_List_Table[[#This Row],[ الصادر ]]</f>
        <v>0</v>
      </c>
      <c r="G314" s="99">
        <f ca="1">Inventory_List_Table[[#This Row],[الكمية]]-Inventory_List_Table[[#This Row],[ الصادر ]]</f>
        <v>56</v>
      </c>
      <c r="H314" s="99"/>
      <c r="I314" s="134"/>
    </row>
    <row r="315" spans="1:9" ht="24" hidden="1" customHeight="1" thickTop="1" thickBot="1" x14ac:dyDescent="0.35">
      <c r="A315" s="46"/>
      <c r="B315" s="63" t="s">
        <v>42</v>
      </c>
      <c r="C315" s="63" t="s">
        <v>485</v>
      </c>
      <c r="D315" s="59">
        <v>46219</v>
      </c>
      <c r="E315" s="97">
        <v>28</v>
      </c>
      <c r="F315" s="121"/>
      <c r="G315" s="99">
        <f>Inventory_List_Table[[#This Row],[الكمية]]-Inventory_List_Table[[#This Row],[ الصادر ]]</f>
        <v>28</v>
      </c>
      <c r="H315" s="99"/>
      <c r="I315" s="134"/>
    </row>
    <row r="316" spans="1:9" ht="24" hidden="1" customHeight="1" thickTop="1" thickBot="1" x14ac:dyDescent="0.35">
      <c r="A316" s="46"/>
      <c r="B316" s="103" t="s">
        <v>606</v>
      </c>
      <c r="C316" s="95" t="s">
        <v>604</v>
      </c>
      <c r="D316" s="102"/>
      <c r="E316" s="96">
        <v>18</v>
      </c>
      <c r="F316" s="102"/>
      <c r="G316" s="99">
        <f>Inventory_List_Table[[#This Row],[الكمية]]-Inventory_List_Table[[#This Row],[ الصادر ]]</f>
        <v>18</v>
      </c>
      <c r="H316" s="99"/>
      <c r="I316" s="134"/>
    </row>
    <row r="317" spans="1:9" ht="24" hidden="1" customHeight="1" thickTop="1" thickBot="1" x14ac:dyDescent="0.35">
      <c r="A317" s="46"/>
      <c r="B317" s="118" t="s">
        <v>607</v>
      </c>
      <c r="C317" s="95" t="s">
        <v>608</v>
      </c>
      <c r="D317" s="101"/>
      <c r="E317" s="96">
        <v>45</v>
      </c>
      <c r="F317" s="102"/>
      <c r="G317" s="99">
        <f>Inventory_List_Table[[#This Row],[الكمية]]-Inventory_List_Table[[#This Row],[ الصادر ]]</f>
        <v>45</v>
      </c>
      <c r="H317" s="99"/>
      <c r="I317" s="134"/>
    </row>
    <row r="318" spans="1:9" ht="24" hidden="1" customHeight="1" thickTop="1" thickBot="1" x14ac:dyDescent="0.35">
      <c r="A318" s="50"/>
      <c r="B318" s="103" t="s">
        <v>605</v>
      </c>
      <c r="C318" s="95" t="s">
        <v>593</v>
      </c>
      <c r="D318" s="95"/>
      <c r="E318" s="96">
        <v>1</v>
      </c>
      <c r="F318" s="102"/>
      <c r="G318" s="99"/>
      <c r="H318" s="99"/>
      <c r="I318" s="134"/>
    </row>
    <row r="319" spans="1:9" ht="27.75" hidden="1" customHeight="1" thickTop="1" thickBot="1" x14ac:dyDescent="0.35">
      <c r="A319" s="46"/>
      <c r="B319" s="171" t="s">
        <v>232</v>
      </c>
      <c r="C319" s="58"/>
      <c r="D319" s="59">
        <v>46219</v>
      </c>
      <c r="E319" s="96">
        <v>1</v>
      </c>
      <c r="F319" s="121"/>
      <c r="G319" s="99"/>
      <c r="H319" s="99"/>
      <c r="I319" s="134"/>
    </row>
    <row r="320" spans="1:9" ht="24" hidden="1" customHeight="1" thickTop="1" thickBot="1" x14ac:dyDescent="0.35">
      <c r="A320" s="46"/>
      <c r="B320" s="171" t="s">
        <v>233</v>
      </c>
      <c r="C320" s="58"/>
      <c r="D320" s="59">
        <v>46219</v>
      </c>
      <c r="E320" s="97">
        <v>1</v>
      </c>
      <c r="F320" s="121"/>
      <c r="G320" s="99"/>
      <c r="H320" s="99"/>
      <c r="I320" s="134"/>
    </row>
    <row r="321" spans="1:9" ht="24" hidden="1" customHeight="1" thickTop="1" thickBot="1" x14ac:dyDescent="0.35">
      <c r="A321" s="46"/>
      <c r="B321" s="171" t="s">
        <v>656</v>
      </c>
      <c r="C321" s="95"/>
      <c r="D321" s="106">
        <v>46230</v>
      </c>
      <c r="E321" s="96">
        <v>60</v>
      </c>
      <c r="F321" s="99">
        <v>10</v>
      </c>
      <c r="G321" s="99"/>
      <c r="H321" s="99"/>
      <c r="I321" s="134"/>
    </row>
    <row r="322" spans="1:9" ht="24" hidden="1" customHeight="1" thickTop="1" thickBot="1" x14ac:dyDescent="0.35">
      <c r="A322" s="46"/>
      <c r="B322" s="172" t="s">
        <v>235</v>
      </c>
      <c r="C322" s="58" t="s">
        <v>486</v>
      </c>
      <c r="D322" s="59">
        <v>46217</v>
      </c>
      <c r="E322" s="96">
        <v>5</v>
      </c>
      <c r="F322" s="121">
        <v>1</v>
      </c>
      <c r="G322" s="99"/>
      <c r="H322" s="99"/>
      <c r="I322" s="134"/>
    </row>
    <row r="323" spans="1:9" ht="24" hidden="1" customHeight="1" thickTop="1" thickBot="1" x14ac:dyDescent="0.35">
      <c r="A323" s="50"/>
      <c r="B323" s="178" t="s">
        <v>594</v>
      </c>
      <c r="C323" s="95" t="s">
        <v>595</v>
      </c>
      <c r="D323" s="95"/>
      <c r="E323" s="96">
        <v>1</v>
      </c>
      <c r="F323" s="102"/>
      <c r="G323" s="99"/>
      <c r="H323" s="99"/>
      <c r="I323" s="134"/>
    </row>
    <row r="324" spans="1:9" ht="24" hidden="1" customHeight="1" thickTop="1" thickBot="1" x14ac:dyDescent="0.35">
      <c r="A324" s="46"/>
      <c r="B324" s="177" t="s">
        <v>681</v>
      </c>
      <c r="C324" s="113"/>
      <c r="D324" s="132">
        <v>46231</v>
      </c>
      <c r="E324" s="133">
        <v>56</v>
      </c>
      <c r="F324" s="99"/>
      <c r="G324" s="99"/>
      <c r="H324" s="99"/>
      <c r="I324" s="134"/>
    </row>
    <row r="325" spans="1:9" ht="24" hidden="1" customHeight="1" thickTop="1" thickBot="1" x14ac:dyDescent="0.35">
      <c r="A325" s="46"/>
      <c r="B325" s="177" t="s">
        <v>680</v>
      </c>
      <c r="C325" s="113"/>
      <c r="D325" s="132">
        <v>46231</v>
      </c>
      <c r="E325" s="133">
        <v>56</v>
      </c>
      <c r="F325" s="99"/>
      <c r="G325" s="99"/>
      <c r="H325" s="99"/>
      <c r="I325" s="134"/>
    </row>
    <row r="326" spans="1:9" ht="24" hidden="1" customHeight="1" thickTop="1" thickBot="1" x14ac:dyDescent="0.35">
      <c r="A326" s="46"/>
      <c r="B326" s="172" t="s">
        <v>637</v>
      </c>
      <c r="C326" s="105" t="s">
        <v>638</v>
      </c>
      <c r="D326" s="104">
        <v>46229</v>
      </c>
      <c r="E326" s="96">
        <v>1</v>
      </c>
      <c r="F326" s="99">
        <f ca="1">Inventory_List_Table[[#This Row],[الكمية]]-Inventory_List_Table[[#This Row],[ الصادر ]]</f>
        <v>0</v>
      </c>
      <c r="G326" s="99"/>
      <c r="H326" s="99"/>
      <c r="I326" s="134"/>
    </row>
    <row r="327" spans="1:9" ht="24" hidden="1" customHeight="1" thickTop="1" thickBot="1" x14ac:dyDescent="0.35">
      <c r="A327" s="46"/>
      <c r="B327" s="171" t="s">
        <v>636</v>
      </c>
      <c r="C327" s="58" t="s">
        <v>487</v>
      </c>
      <c r="D327" s="59">
        <v>46217</v>
      </c>
      <c r="E327" s="96">
        <v>32</v>
      </c>
      <c r="F327" s="121">
        <v>15</v>
      </c>
      <c r="G327" s="99"/>
      <c r="H327" s="99"/>
      <c r="I327" s="134"/>
    </row>
    <row r="328" spans="1:9" ht="24" hidden="1" customHeight="1" thickTop="1" thickBot="1" x14ac:dyDescent="0.35">
      <c r="A328" s="46"/>
      <c r="B328" s="171" t="s">
        <v>488</v>
      </c>
      <c r="C328" s="58" t="s">
        <v>489</v>
      </c>
      <c r="D328" s="59">
        <v>46217</v>
      </c>
      <c r="E328" s="97">
        <v>6</v>
      </c>
      <c r="F328" s="187">
        <v>1</v>
      </c>
      <c r="G328" s="99"/>
      <c r="H328" s="99"/>
      <c r="I328" s="134"/>
    </row>
    <row r="329" spans="1:9" ht="24" hidden="1" customHeight="1" thickTop="1" thickBot="1" x14ac:dyDescent="0.35">
      <c r="A329" s="46"/>
      <c r="B329" s="171" t="s">
        <v>237</v>
      </c>
      <c r="C329" s="58" t="s">
        <v>490</v>
      </c>
      <c r="D329" s="59">
        <v>46217</v>
      </c>
      <c r="E329" s="96">
        <v>1</v>
      </c>
      <c r="F329" s="121"/>
      <c r="G329" s="138"/>
      <c r="H329" s="138"/>
      <c r="I329" s="134"/>
    </row>
    <row r="330" spans="1:9" ht="24" hidden="1" customHeight="1" thickTop="1" thickBot="1" x14ac:dyDescent="0.35">
      <c r="A330" s="46"/>
      <c r="B330" s="171" t="s">
        <v>491</v>
      </c>
      <c r="C330" s="58" t="s">
        <v>492</v>
      </c>
      <c r="D330" s="59">
        <v>46217</v>
      </c>
      <c r="E330" s="97">
        <v>5</v>
      </c>
      <c r="F330" s="121">
        <v>1</v>
      </c>
      <c r="G330" s="138"/>
      <c r="H330" s="138"/>
      <c r="I330" s="134"/>
    </row>
    <row r="331" spans="1:9" ht="24" hidden="1" customHeight="1" thickTop="1" thickBot="1" x14ac:dyDescent="0.35">
      <c r="A331" s="46"/>
      <c r="B331" s="171" t="s">
        <v>493</v>
      </c>
      <c r="C331" s="58"/>
      <c r="D331" s="59">
        <v>46217</v>
      </c>
      <c r="E331" s="96">
        <v>2</v>
      </c>
      <c r="F331" s="121">
        <v>2</v>
      </c>
      <c r="G331" s="138"/>
      <c r="H331" s="138"/>
      <c r="I331" s="134"/>
    </row>
    <row r="332" spans="1:9" ht="24" hidden="1" customHeight="1" thickTop="1" thickBot="1" x14ac:dyDescent="0.35">
      <c r="A332" s="46"/>
      <c r="B332" s="172" t="s">
        <v>239</v>
      </c>
      <c r="C332" s="58"/>
      <c r="D332" s="59">
        <v>46219</v>
      </c>
      <c r="E332" s="96">
        <v>1</v>
      </c>
      <c r="F332" s="121"/>
      <c r="G332" s="138"/>
      <c r="H332" s="138"/>
      <c r="I332" s="134"/>
    </row>
    <row r="333" spans="1:9" ht="24" hidden="1" customHeight="1" thickTop="1" thickBot="1" x14ac:dyDescent="0.35">
      <c r="A333" s="46"/>
      <c r="B333" s="171" t="s">
        <v>240</v>
      </c>
      <c r="C333" s="58"/>
      <c r="D333" s="59">
        <v>46219</v>
      </c>
      <c r="E333" s="97">
        <v>1</v>
      </c>
      <c r="F333" s="121"/>
      <c r="G333" s="138"/>
      <c r="H333" s="138"/>
      <c r="I333" s="134"/>
    </row>
    <row r="334" spans="1:9" ht="24" hidden="1" customHeight="1" thickTop="1" thickBot="1" x14ac:dyDescent="0.35">
      <c r="A334" s="46"/>
      <c r="B334" s="172" t="s">
        <v>241</v>
      </c>
      <c r="C334" s="58"/>
      <c r="D334" s="59">
        <v>46219</v>
      </c>
      <c r="E334" s="96">
        <v>1</v>
      </c>
      <c r="F334" s="121"/>
      <c r="G334" s="138"/>
      <c r="H334" s="138"/>
      <c r="I334" s="134"/>
    </row>
    <row r="335" spans="1:9" ht="24" hidden="1" customHeight="1" thickTop="1" thickBot="1" x14ac:dyDescent="0.35">
      <c r="A335" s="46"/>
      <c r="B335" s="171" t="s">
        <v>242</v>
      </c>
      <c r="C335" s="58"/>
      <c r="D335" s="59">
        <v>46219</v>
      </c>
      <c r="E335" s="97">
        <v>1</v>
      </c>
      <c r="F335" s="121"/>
      <c r="G335" s="138"/>
      <c r="H335" s="138"/>
      <c r="I335" s="134"/>
    </row>
    <row r="336" spans="1:9" ht="24" hidden="1" customHeight="1" thickTop="1" thickBot="1" x14ac:dyDescent="0.35">
      <c r="A336" s="46"/>
      <c r="B336" s="58" t="s">
        <v>243</v>
      </c>
      <c r="C336" s="58"/>
      <c r="D336" s="59">
        <v>46219</v>
      </c>
      <c r="E336" s="96">
        <v>1</v>
      </c>
      <c r="F336" s="121"/>
      <c r="G336" s="138">
        <f>Inventory_List_Table[[#This Row],[الكمية]]-Inventory_List_Table[[#This Row],[ الصادر ]]</f>
        <v>1</v>
      </c>
      <c r="H336" s="138"/>
      <c r="I336" s="134"/>
    </row>
    <row r="337" spans="1:9" ht="24" hidden="1" customHeight="1" thickTop="1" thickBot="1" x14ac:dyDescent="0.35">
      <c r="A337" s="46"/>
      <c r="B337" s="58" t="s">
        <v>244</v>
      </c>
      <c r="C337" s="58"/>
      <c r="D337" s="59">
        <v>46219</v>
      </c>
      <c r="E337" s="97">
        <v>1</v>
      </c>
      <c r="F337" s="121"/>
      <c r="G337" s="138">
        <f>Inventory_List_Table[[#This Row],[الكمية]]-Inventory_List_Table[[#This Row],[ الصادر ]]</f>
        <v>1</v>
      </c>
      <c r="H337" s="138"/>
      <c r="I337" s="134"/>
    </row>
    <row r="338" spans="1:9" ht="24" hidden="1" customHeight="1" thickTop="1" thickBot="1" x14ac:dyDescent="0.35">
      <c r="A338" s="46"/>
      <c r="B338" s="58" t="s">
        <v>245</v>
      </c>
      <c r="C338" s="58"/>
      <c r="D338" s="59">
        <v>46219</v>
      </c>
      <c r="E338" s="96">
        <v>1</v>
      </c>
      <c r="F338" s="121"/>
      <c r="G338" s="138">
        <f>Inventory_List_Table[[#This Row],[الكمية]]-Inventory_List_Table[[#This Row],[ الصادر ]]</f>
        <v>1</v>
      </c>
      <c r="H338" s="138"/>
      <c r="I338" s="134"/>
    </row>
    <row r="339" spans="1:9" ht="24" hidden="1" customHeight="1" thickTop="1" thickBot="1" x14ac:dyDescent="0.35">
      <c r="A339" s="46"/>
      <c r="B339" s="58" t="s">
        <v>246</v>
      </c>
      <c r="C339" s="58"/>
      <c r="D339" s="59">
        <v>46219</v>
      </c>
      <c r="E339" s="97">
        <v>1</v>
      </c>
      <c r="F339" s="121"/>
      <c r="G339" s="138">
        <f>Inventory_List_Table[[#This Row],[الكمية]]-Inventory_List_Table[[#This Row],[ الصادر ]]</f>
        <v>1</v>
      </c>
      <c r="H339" s="138"/>
      <c r="I339" s="134"/>
    </row>
    <row r="340" spans="1:9" ht="24" hidden="1" customHeight="1" thickTop="1" thickBot="1" x14ac:dyDescent="0.35">
      <c r="A340" s="46"/>
      <c r="B340" s="63" t="s">
        <v>247</v>
      </c>
      <c r="C340" s="63"/>
      <c r="D340" s="59">
        <v>46219</v>
      </c>
      <c r="E340" s="96">
        <v>1</v>
      </c>
      <c r="F340" s="121"/>
      <c r="G340" s="138">
        <f>Inventory_List_Table[[#This Row],[الكمية]]-Inventory_List_Table[[#This Row],[ الصادر ]]</f>
        <v>1</v>
      </c>
      <c r="H340" s="138"/>
      <c r="I340" s="134"/>
    </row>
    <row r="341" spans="1:9" ht="24" hidden="1" customHeight="1" thickTop="1" thickBot="1" x14ac:dyDescent="0.35">
      <c r="A341" s="46"/>
      <c r="B341" s="63" t="s">
        <v>248</v>
      </c>
      <c r="C341" s="63"/>
      <c r="D341" s="59">
        <v>46219</v>
      </c>
      <c r="E341" s="97">
        <v>2</v>
      </c>
      <c r="F341" s="121"/>
      <c r="G341" s="138">
        <f>Inventory_List_Table[[#This Row],[الكمية]]-Inventory_List_Table[[#This Row],[ الصادر ]]</f>
        <v>2</v>
      </c>
      <c r="H341" s="138"/>
      <c r="I341" s="134"/>
    </row>
    <row r="342" spans="1:9" ht="24" hidden="1" customHeight="1" thickTop="1" thickBot="1" x14ac:dyDescent="0.35">
      <c r="A342" s="46"/>
      <c r="B342" s="63" t="s">
        <v>249</v>
      </c>
      <c r="C342" s="63"/>
      <c r="D342" s="59">
        <v>46219</v>
      </c>
      <c r="E342" s="96">
        <v>1</v>
      </c>
      <c r="F342" s="121"/>
      <c r="G342" s="138">
        <f>Inventory_List_Table[[#This Row],[الكمية]]-Inventory_List_Table[[#This Row],[ الصادر ]]</f>
        <v>1</v>
      </c>
      <c r="H342" s="138"/>
      <c r="I342" s="134"/>
    </row>
    <row r="343" spans="1:9" ht="24" hidden="1" customHeight="1" thickTop="1" thickBot="1" x14ac:dyDescent="0.35">
      <c r="A343" s="46"/>
      <c r="B343" s="63" t="s">
        <v>250</v>
      </c>
      <c r="C343" s="63"/>
      <c r="D343" s="59">
        <v>46219</v>
      </c>
      <c r="E343" s="97">
        <v>1</v>
      </c>
      <c r="F343" s="121"/>
      <c r="G343" s="138">
        <f>Inventory_List_Table[[#This Row],[الكمية]]-Inventory_List_Table[[#This Row],[ الصادر ]]</f>
        <v>1</v>
      </c>
      <c r="H343" s="138"/>
      <c r="I343" s="134"/>
    </row>
    <row r="344" spans="1:9" ht="24" hidden="1" customHeight="1" thickTop="1" thickBot="1" x14ac:dyDescent="0.35">
      <c r="A344" s="46"/>
      <c r="B344" s="58" t="s">
        <v>251</v>
      </c>
      <c r="C344" s="58" t="s">
        <v>494</v>
      </c>
      <c r="D344" s="59">
        <v>46218</v>
      </c>
      <c r="E344" s="96">
        <v>1</v>
      </c>
      <c r="F344" s="121"/>
      <c r="G344" s="138">
        <f>Inventory_List_Table[[#This Row],[الكمية]]-Inventory_List_Table[[#This Row],[ الصادر ]]</f>
        <v>1</v>
      </c>
      <c r="H344" s="138"/>
      <c r="I344" s="134"/>
    </row>
    <row r="345" spans="1:9" ht="24" hidden="1" customHeight="1" thickTop="1" thickBot="1" x14ac:dyDescent="0.35">
      <c r="A345" s="46"/>
      <c r="B345" s="58" t="s">
        <v>274</v>
      </c>
      <c r="C345" s="58" t="s">
        <v>495</v>
      </c>
      <c r="D345" s="59">
        <v>46217</v>
      </c>
      <c r="E345" s="96">
        <v>1</v>
      </c>
      <c r="F345" s="121"/>
      <c r="G345" s="138">
        <f>Inventory_List_Table[[#This Row],[الكمية]]-Inventory_List_Table[[#This Row],[ الصادر ]]</f>
        <v>1</v>
      </c>
      <c r="H345" s="138"/>
      <c r="I345" s="134"/>
    </row>
    <row r="346" spans="1:9" ht="24" hidden="1" customHeight="1" thickTop="1" thickBot="1" x14ac:dyDescent="0.35">
      <c r="A346" s="46"/>
      <c r="B346" s="58" t="s">
        <v>252</v>
      </c>
      <c r="C346" s="58" t="s">
        <v>496</v>
      </c>
      <c r="D346" s="59">
        <v>46217</v>
      </c>
      <c r="E346" s="96">
        <v>1</v>
      </c>
      <c r="F346" s="121"/>
      <c r="G346" s="138">
        <f>Inventory_List_Table[[#This Row],[الكمية]]-Inventory_List_Table[[#This Row],[ الصادر ]]</f>
        <v>1</v>
      </c>
      <c r="H346" s="138"/>
      <c r="I346" s="134"/>
    </row>
    <row r="347" spans="1:9" ht="24" hidden="1" customHeight="1" thickTop="1" thickBot="1" x14ac:dyDescent="0.35">
      <c r="A347" s="46"/>
      <c r="B347" s="131" t="s">
        <v>682</v>
      </c>
      <c r="C347" s="113"/>
      <c r="D347" s="132">
        <v>46231</v>
      </c>
      <c r="E347" s="133">
        <v>10</v>
      </c>
      <c r="F347" s="99"/>
      <c r="G347" s="138">
        <f>Inventory_List_Table[[#This Row],[الكمية]]-Inventory_List_Table[[#This Row],[ الصادر ]]</f>
        <v>10</v>
      </c>
      <c r="H347" s="138"/>
      <c r="I347" s="134"/>
    </row>
    <row r="348" spans="1:9" ht="24" hidden="1" customHeight="1" thickTop="1" thickBot="1" x14ac:dyDescent="0.35">
      <c r="A348" s="46"/>
      <c r="B348" s="58" t="s">
        <v>497</v>
      </c>
      <c r="C348" s="58" t="s">
        <v>498</v>
      </c>
      <c r="D348" s="59">
        <v>46217</v>
      </c>
      <c r="E348" s="97">
        <v>1</v>
      </c>
      <c r="F348" s="121"/>
      <c r="G348" s="138">
        <f>Inventory_List_Table[[#This Row],[الكمية]]-Inventory_List_Table[[#This Row],[ الصادر ]]</f>
        <v>1</v>
      </c>
      <c r="H348" s="138"/>
      <c r="I348" s="134"/>
    </row>
    <row r="349" spans="1:9" ht="24" hidden="1" customHeight="1" thickTop="1" thickBot="1" x14ac:dyDescent="0.35">
      <c r="A349" s="46"/>
      <c r="B349" s="58" t="s">
        <v>253</v>
      </c>
      <c r="C349" s="58" t="s">
        <v>499</v>
      </c>
      <c r="D349" s="59">
        <v>46217</v>
      </c>
      <c r="E349" s="97">
        <v>20</v>
      </c>
      <c r="F349" s="121">
        <v>11</v>
      </c>
      <c r="G349" s="138">
        <f>Inventory_List_Table[[#This Row],[الكمية]]-Inventory_List_Table[[#This Row],[ الصادر ]]</f>
        <v>9</v>
      </c>
      <c r="H349" s="138"/>
      <c r="I349" s="134"/>
    </row>
    <row r="350" spans="1:9" ht="24" hidden="1" customHeight="1" thickTop="1" thickBot="1" x14ac:dyDescent="0.35">
      <c r="A350" s="46"/>
      <c r="B350" s="129" t="s">
        <v>254</v>
      </c>
      <c r="C350" s="58" t="s">
        <v>500</v>
      </c>
      <c r="D350" s="59">
        <v>46217</v>
      </c>
      <c r="E350" s="96">
        <v>6</v>
      </c>
      <c r="F350" s="121">
        <v>3</v>
      </c>
      <c r="G350" s="138">
        <f>Inventory_List_Table[[#This Row],[الكمية]]-Inventory_List_Table[[#This Row],[ الصادر ]]</f>
        <v>3</v>
      </c>
      <c r="H350" s="138" t="s">
        <v>757</v>
      </c>
      <c r="I350" s="134"/>
    </row>
    <row r="351" spans="1:9" ht="24" hidden="1" customHeight="1" thickTop="1" thickBot="1" x14ac:dyDescent="0.35">
      <c r="A351" s="46"/>
      <c r="B351" s="58" t="s">
        <v>255</v>
      </c>
      <c r="C351" s="58" t="s">
        <v>501</v>
      </c>
      <c r="D351" s="59">
        <v>46218</v>
      </c>
      <c r="E351" s="97">
        <v>1</v>
      </c>
      <c r="F351" s="121"/>
      <c r="G351" s="138">
        <f>Inventory_List_Table[[#This Row],[الكمية]]-Inventory_List_Table[[#This Row],[ الصادر ]]</f>
        <v>1</v>
      </c>
      <c r="H351" s="138"/>
      <c r="I351" s="134"/>
    </row>
    <row r="352" spans="1:9" ht="24" hidden="1" customHeight="1" thickTop="1" thickBot="1" x14ac:dyDescent="0.35">
      <c r="A352" s="46"/>
      <c r="B352" s="58" t="s">
        <v>256</v>
      </c>
      <c r="C352" s="58" t="s">
        <v>502</v>
      </c>
      <c r="D352" s="59">
        <v>46217</v>
      </c>
      <c r="E352" s="97">
        <v>1</v>
      </c>
      <c r="F352" s="121"/>
      <c r="G352" s="138">
        <f>Inventory_List_Table[[#This Row],[الكمية]]-Inventory_List_Table[[#This Row],[ الصادر ]]</f>
        <v>1</v>
      </c>
      <c r="H352" s="138"/>
      <c r="I352" s="134"/>
    </row>
    <row r="353" spans="1:9" ht="24" hidden="1" customHeight="1" thickTop="1" thickBot="1" x14ac:dyDescent="0.35">
      <c r="A353" s="46"/>
      <c r="B353" s="63" t="s">
        <v>503</v>
      </c>
      <c r="C353" s="63" t="s">
        <v>504</v>
      </c>
      <c r="D353" s="59">
        <v>46223</v>
      </c>
      <c r="E353" s="96">
        <v>1</v>
      </c>
      <c r="F353" s="121"/>
      <c r="G353" s="138">
        <f>Inventory_List_Table[[#This Row],[الكمية]]-Inventory_List_Table[[#This Row],[ الصادر ]]</f>
        <v>1</v>
      </c>
      <c r="H353" s="138"/>
      <c r="I353" s="134"/>
    </row>
    <row r="354" spans="1:9" ht="24" hidden="1" customHeight="1" thickTop="1" thickBot="1" x14ac:dyDescent="0.35">
      <c r="A354" s="46"/>
      <c r="B354" s="63" t="s">
        <v>505</v>
      </c>
      <c r="C354" s="63" t="s">
        <v>506</v>
      </c>
      <c r="D354" s="59">
        <v>46223</v>
      </c>
      <c r="E354" s="96">
        <v>1</v>
      </c>
      <c r="F354" s="121"/>
      <c r="G354" s="138">
        <f>Inventory_List_Table[[#This Row],[الكمية]]-Inventory_List_Table[[#This Row],[ الصادر ]]</f>
        <v>1</v>
      </c>
      <c r="H354" s="138"/>
      <c r="I354" s="134"/>
    </row>
    <row r="355" spans="1:9" ht="24" hidden="1" customHeight="1" thickTop="1" thickBot="1" x14ac:dyDescent="0.35">
      <c r="A355" s="46">
        <v>352</v>
      </c>
      <c r="B355" s="175" t="s">
        <v>613</v>
      </c>
      <c r="C355" s="95"/>
      <c r="D355" s="102"/>
      <c r="E355" s="96">
        <v>51</v>
      </c>
      <c r="F355" s="121"/>
      <c r="G355" s="138">
        <f>Inventory_List_Table[[#This Row],[الكمية]]-Inventory_List_Table[[#This Row],[ الصادر ]]</f>
        <v>51</v>
      </c>
      <c r="H355" s="138"/>
      <c r="I355" s="134"/>
    </row>
    <row r="356" spans="1:9" ht="24" hidden="1" customHeight="1" thickTop="1" thickBot="1" x14ac:dyDescent="0.35">
      <c r="A356" s="46">
        <v>353</v>
      </c>
      <c r="B356" s="53" t="s">
        <v>725</v>
      </c>
      <c r="C356" s="27"/>
      <c r="D356" s="123">
        <v>46231</v>
      </c>
      <c r="E356" s="124">
        <v>200</v>
      </c>
      <c r="F356" s="27"/>
      <c r="G356" s="138">
        <f>Inventory_List_Table[[#This Row],[الكمية]]-Inventory_List_Table[[#This Row],[ الصادر ]]</f>
        <v>200</v>
      </c>
      <c r="H356" s="138"/>
      <c r="I356" s="134"/>
    </row>
    <row r="357" spans="1:9" ht="24" hidden="1" customHeight="1" thickTop="1" thickBot="1" x14ac:dyDescent="0.35">
      <c r="A357" s="46">
        <v>354</v>
      </c>
      <c r="B357" s="58" t="s">
        <v>655</v>
      </c>
      <c r="C357" s="95"/>
      <c r="D357" s="106">
        <v>46230</v>
      </c>
      <c r="E357" s="96">
        <v>200</v>
      </c>
      <c r="F357" s="99">
        <f ca="1">Inventory_List_Table[[#This Row],[الكمية]]-Inventory_List_Table[[#This Row],[ الصادر ]]</f>
        <v>50</v>
      </c>
      <c r="G357" s="138">
        <f ca="1">Inventory_List_Table[[#This Row],[الكمية]]-Inventory_List_Table[[#This Row],[ الصادر ]]</f>
        <v>40</v>
      </c>
      <c r="H357" s="138"/>
      <c r="I357" s="134"/>
    </row>
    <row r="358" spans="1:9" ht="24" hidden="1" customHeight="1" thickTop="1" thickBot="1" x14ac:dyDescent="0.35">
      <c r="A358" s="46">
        <v>355</v>
      </c>
      <c r="B358" s="58" t="s">
        <v>257</v>
      </c>
      <c r="C358" s="58" t="s">
        <v>507</v>
      </c>
      <c r="D358" s="59">
        <v>46217</v>
      </c>
      <c r="E358" s="96">
        <v>10</v>
      </c>
      <c r="F358" s="121">
        <v>1</v>
      </c>
      <c r="G358" s="138">
        <f>Inventory_List_Table[[#This Row],[الكمية]]-Inventory_List_Table[[#This Row],[ الصادر ]]</f>
        <v>9</v>
      </c>
      <c r="H358" s="138"/>
      <c r="I358" s="134"/>
    </row>
    <row r="359" spans="1:9" ht="24" hidden="1" customHeight="1" thickTop="1" thickBot="1" x14ac:dyDescent="0.35">
      <c r="A359" s="46">
        <v>356</v>
      </c>
      <c r="B359" s="58" t="s">
        <v>508</v>
      </c>
      <c r="C359" s="58" t="s">
        <v>509</v>
      </c>
      <c r="D359" s="59">
        <v>46217</v>
      </c>
      <c r="E359" s="96">
        <v>11</v>
      </c>
      <c r="F359" s="121">
        <v>1</v>
      </c>
      <c r="G359" s="138">
        <f>Inventory_List_Table[[#This Row],[الكمية]]-Inventory_List_Table[[#This Row],[ الصادر ]]</f>
        <v>10</v>
      </c>
      <c r="H359" s="138"/>
      <c r="I359" s="134"/>
    </row>
    <row r="360" spans="1:9" ht="24" hidden="1" customHeight="1" thickTop="1" thickBot="1" x14ac:dyDescent="0.35">
      <c r="A360" s="46">
        <v>357</v>
      </c>
      <c r="B360" s="58" t="s">
        <v>258</v>
      </c>
      <c r="C360" s="58" t="s">
        <v>510</v>
      </c>
      <c r="D360" s="59">
        <v>46217</v>
      </c>
      <c r="E360" s="97">
        <v>10</v>
      </c>
      <c r="F360" s="121"/>
      <c r="G360" s="138">
        <f>Inventory_List_Table[[#This Row],[الكمية]]-Inventory_List_Table[[#This Row],[ الصادر ]]</f>
        <v>10</v>
      </c>
      <c r="H360" s="138"/>
      <c r="I360" s="134"/>
    </row>
    <row r="361" spans="1:9" ht="24" hidden="1" customHeight="1" thickTop="1" thickBot="1" x14ac:dyDescent="0.35">
      <c r="A361" s="46">
        <v>358</v>
      </c>
      <c r="B361" s="58" t="s">
        <v>259</v>
      </c>
      <c r="C361" s="58" t="s">
        <v>511</v>
      </c>
      <c r="D361" s="59">
        <v>46217</v>
      </c>
      <c r="E361" s="97">
        <v>15</v>
      </c>
      <c r="F361" s="121"/>
      <c r="G361" s="138">
        <f>Inventory_List_Table[[#This Row],[الكمية]]-Inventory_List_Table[[#This Row],[ الصادر ]]</f>
        <v>15</v>
      </c>
      <c r="H361" s="138"/>
      <c r="I361" s="134"/>
    </row>
    <row r="362" spans="1:9" ht="24" hidden="1" customHeight="1" thickTop="1" thickBot="1" x14ac:dyDescent="0.35">
      <c r="A362" s="46">
        <v>359</v>
      </c>
      <c r="B362" s="58" t="s">
        <v>260</v>
      </c>
      <c r="C362" s="58" t="s">
        <v>512</v>
      </c>
      <c r="D362" s="59">
        <v>46217</v>
      </c>
      <c r="E362" s="96">
        <v>12</v>
      </c>
      <c r="F362" s="121"/>
      <c r="G362" s="138">
        <f>Inventory_List_Table[[#This Row],[الكمية]]-Inventory_List_Table[[#This Row],[ الصادر ]]</f>
        <v>12</v>
      </c>
      <c r="H362" s="138"/>
    </row>
    <row r="363" spans="1:9" ht="24" hidden="1" customHeight="1" thickTop="1" thickBot="1" x14ac:dyDescent="0.35">
      <c r="A363" s="46">
        <v>360</v>
      </c>
      <c r="B363" s="58" t="s">
        <v>261</v>
      </c>
      <c r="C363" s="58" t="s">
        <v>513</v>
      </c>
      <c r="D363" s="59">
        <v>46218</v>
      </c>
      <c r="E363" s="97">
        <v>201</v>
      </c>
      <c r="F363" s="121">
        <v>50</v>
      </c>
      <c r="G363" s="138">
        <f>Inventory_List_Table[[#This Row],[الكمية]]-Inventory_List_Table[[#This Row],[ الصادر ]]</f>
        <v>151</v>
      </c>
      <c r="H363" s="138"/>
    </row>
    <row r="364" spans="1:9" ht="24" hidden="1" customHeight="1" thickTop="1" thickBot="1" x14ac:dyDescent="0.35">
      <c r="B364" s="58" t="s">
        <v>514</v>
      </c>
      <c r="C364" s="58" t="s">
        <v>515</v>
      </c>
      <c r="D364" s="59">
        <v>46218</v>
      </c>
      <c r="E364" s="96">
        <v>1</v>
      </c>
      <c r="F364" s="121"/>
      <c r="G364" s="138">
        <f>Inventory_List_Table[[#This Row],[الكمية]]-Inventory_List_Table[[#This Row],[ الصادر ]]</f>
        <v>1</v>
      </c>
      <c r="H364" s="138"/>
    </row>
    <row r="365" spans="1:9" ht="24" hidden="1" customHeight="1" thickTop="1" thickBot="1" x14ac:dyDescent="0.35">
      <c r="B365" s="58" t="s">
        <v>653</v>
      </c>
      <c r="C365" s="102"/>
      <c r="D365" s="106">
        <v>46230</v>
      </c>
      <c r="E365" s="96">
        <v>200</v>
      </c>
      <c r="F365" s="99">
        <f ca="1">Inventory_List_Table[[#This Row],[الكمية]]-Inventory_List_Table[[#This Row],[ الصادر ]]</f>
        <v>50</v>
      </c>
      <c r="G365" s="138">
        <f ca="1">Inventory_List_Table[[#This Row],[الكمية]]-Inventory_List_Table[[#This Row],[ الصادر ]]</f>
        <v>50</v>
      </c>
      <c r="H365" s="138"/>
    </row>
    <row r="366" spans="1:9" ht="24" hidden="1" customHeight="1" thickTop="1" thickBot="1" x14ac:dyDescent="0.35">
      <c r="B366" s="58" t="s">
        <v>654</v>
      </c>
      <c r="C366" s="102"/>
      <c r="D366" s="106">
        <v>46230</v>
      </c>
      <c r="E366" s="96">
        <v>200</v>
      </c>
      <c r="F366" s="99">
        <f ca="1">Inventory_List_Table[[#This Row],[الكمية]]-Inventory_List_Table[[#This Row],[ الصادر ]]</f>
        <v>50</v>
      </c>
      <c r="G366" s="138">
        <f ca="1">Inventory_List_Table[[#This Row],[الكمية]]-Inventory_List_Table[[#This Row],[ الصادر ]]</f>
        <v>30</v>
      </c>
      <c r="H366" s="138"/>
    </row>
    <row r="367" spans="1:9" ht="24" hidden="1" customHeight="1" thickTop="1" thickBot="1" x14ac:dyDescent="0.35">
      <c r="B367" s="118" t="s">
        <v>609</v>
      </c>
      <c r="C367" s="102"/>
      <c r="D367" s="106">
        <v>46230</v>
      </c>
      <c r="E367" s="96">
        <v>201</v>
      </c>
      <c r="F367" s="121"/>
      <c r="G367" s="138">
        <f>Inventory_List_Table[[#This Row],[الكمية]]-Inventory_List_Table[[#This Row],[ الصادر ]]</f>
        <v>201</v>
      </c>
      <c r="H367" s="138"/>
    </row>
    <row r="368" spans="1:9" ht="24" hidden="1" customHeight="1" thickTop="1" thickBot="1" x14ac:dyDescent="0.35">
      <c r="B368" s="58"/>
      <c r="C368" s="58"/>
      <c r="D368" s="59"/>
      <c r="E368" s="97"/>
      <c r="F368" s="121"/>
      <c r="G368" s="138">
        <f>Inventory_List_Table[[#This Row],[الكمية]]-Inventory_List_Table[[#This Row],[ الصادر ]]</f>
        <v>0</v>
      </c>
      <c r="H368" s="138"/>
    </row>
    <row r="369" spans="2:8" ht="24" hidden="1" customHeight="1" thickTop="1" thickBot="1" x14ac:dyDescent="0.35">
      <c r="B369" s="135"/>
      <c r="C369" s="113"/>
      <c r="D369" s="113"/>
      <c r="E369" s="130"/>
      <c r="F369" s="99"/>
      <c r="G369" s="138">
        <f>Inventory_List_Table[[#This Row],[الكمية]]-Inventory_List_Table[[#This Row],[ الصادر ]]</f>
        <v>0</v>
      </c>
      <c r="H369" s="138"/>
    </row>
    <row r="370" spans="2:8" ht="24" hidden="1" customHeight="1" thickTop="1" thickBot="1" x14ac:dyDescent="0.35">
      <c r="B370" s="174"/>
      <c r="C370" s="113"/>
      <c r="D370" s="136"/>
      <c r="E370" s="130"/>
      <c r="F370" s="185"/>
      <c r="G370" s="138">
        <f>Inventory_List_Table[[#This Row],[الكمية]]-Inventory_List_Table[[#This Row],[ الصادر ]]</f>
        <v>0</v>
      </c>
      <c r="H370" s="138"/>
    </row>
    <row r="371" spans="2:8" ht="24" hidden="1" customHeight="1" thickTop="1" thickBot="1" x14ac:dyDescent="0.35">
      <c r="B371" s="174"/>
      <c r="C371" s="113"/>
      <c r="D371" s="136"/>
      <c r="E371" s="130"/>
      <c r="F371" s="185"/>
      <c r="G371" s="138">
        <f>Inventory_List_Table[[#This Row],[الكمية]]-Inventory_List_Table[[#This Row],[ الصادر ]]</f>
        <v>0</v>
      </c>
      <c r="H371" s="138"/>
    </row>
    <row r="372" spans="2:8" ht="24" hidden="1" customHeight="1" thickTop="1" thickBot="1" x14ac:dyDescent="0.35">
      <c r="B372" s="174"/>
      <c r="C372" s="113"/>
      <c r="D372" s="136"/>
      <c r="E372" s="130"/>
      <c r="F372" s="185"/>
      <c r="G372" s="138">
        <f>Inventory_List_Table[[#This Row],[الكمية]]-Inventory_List_Table[[#This Row],[ الصادر ]]</f>
        <v>0</v>
      </c>
      <c r="H372" s="138"/>
    </row>
    <row r="373" spans="2:8" ht="24" hidden="1" customHeight="1" thickTop="1" thickBot="1" x14ac:dyDescent="0.35">
      <c r="B373" s="174"/>
      <c r="C373" s="113"/>
      <c r="D373" s="136"/>
      <c r="E373" s="130"/>
      <c r="F373" s="185"/>
    </row>
    <row r="374" spans="2:8" ht="24" hidden="1" customHeight="1" thickTop="1" thickBot="1" x14ac:dyDescent="0.35">
      <c r="B374" s="174"/>
      <c r="C374" s="113"/>
      <c r="D374" s="136"/>
      <c r="E374" s="130"/>
      <c r="F374" s="185"/>
    </row>
    <row r="375" spans="2:8" ht="24" hidden="1" customHeight="1" thickTop="1" thickBot="1" x14ac:dyDescent="0.35">
      <c r="B375" s="170"/>
      <c r="C375" s="113"/>
      <c r="D375" s="136"/>
      <c r="E375" s="130"/>
      <c r="F375" s="185"/>
    </row>
    <row r="376" spans="2:8" ht="24" hidden="1" customHeight="1" thickTop="1" thickBot="1" x14ac:dyDescent="0.35">
      <c r="B376" s="170"/>
      <c r="C376" s="113"/>
      <c r="D376" s="136"/>
      <c r="E376" s="130"/>
      <c r="F376" s="185"/>
    </row>
    <row r="377" spans="2:8" ht="24" hidden="1" customHeight="1" thickTop="1" thickBot="1" x14ac:dyDescent="0.35">
      <c r="B377" s="170"/>
      <c r="C377" s="113"/>
      <c r="D377" s="136"/>
      <c r="E377" s="130"/>
      <c r="F377" s="185"/>
    </row>
    <row r="378" spans="2:8" ht="24" hidden="1" customHeight="1" thickTop="1" thickBot="1" x14ac:dyDescent="0.35">
      <c r="B378" s="170"/>
      <c r="C378" s="113"/>
      <c r="D378" s="136"/>
      <c r="E378" s="130"/>
      <c r="F378" s="185"/>
    </row>
    <row r="379" spans="2:8" ht="24" hidden="1" customHeight="1" thickTop="1" thickBot="1" x14ac:dyDescent="0.35">
      <c r="B379" s="170"/>
      <c r="C379" s="113"/>
      <c r="D379" s="136"/>
      <c r="E379" s="130"/>
      <c r="F379" s="184"/>
    </row>
    <row r="380" spans="2:8" ht="24" hidden="1" customHeight="1" thickTop="1" thickBot="1" x14ac:dyDescent="0.35">
      <c r="B380" s="170"/>
      <c r="C380" s="113"/>
      <c r="D380" s="136"/>
      <c r="E380" s="130"/>
      <c r="F380" s="184"/>
    </row>
    <row r="381" spans="2:8" ht="24" hidden="1" customHeight="1" thickTop="1" thickBot="1" x14ac:dyDescent="0.35">
      <c r="B381" s="170"/>
      <c r="C381" s="113"/>
      <c r="D381" s="136"/>
      <c r="E381" s="137"/>
      <c r="F381" s="184"/>
    </row>
    <row r="382" spans="2:8" ht="24" hidden="1" customHeight="1" thickTop="1" thickBot="1" x14ac:dyDescent="0.35">
      <c r="B382" s="170"/>
      <c r="C382" s="113"/>
      <c r="D382" s="136"/>
      <c r="E382" s="137"/>
      <c r="F382" s="184"/>
    </row>
    <row r="383" spans="2:8" ht="24" hidden="1" customHeight="1" thickTop="1" thickBot="1" x14ac:dyDescent="0.35">
      <c r="B383" s="170"/>
      <c r="C383" s="113"/>
      <c r="D383" s="136"/>
      <c r="E383" s="137"/>
      <c r="F383" s="184"/>
    </row>
    <row r="384" spans="2:8" ht="24" hidden="1" customHeight="1" thickTop="1" thickBot="1" x14ac:dyDescent="0.35">
      <c r="B384" s="170"/>
      <c r="C384" s="113"/>
      <c r="D384" s="136"/>
      <c r="E384" s="137"/>
      <c r="F384" s="184"/>
    </row>
    <row r="385" spans="2:6" ht="24" hidden="1" customHeight="1" thickTop="1" thickBot="1" x14ac:dyDescent="0.35">
      <c r="B385" s="170"/>
      <c r="C385" s="113"/>
      <c r="D385" s="136"/>
      <c r="E385" s="137"/>
      <c r="F385" s="184"/>
    </row>
    <row r="386" spans="2:6" ht="24" hidden="1" customHeight="1" thickTop="1" thickBot="1" x14ac:dyDescent="0.35">
      <c r="B386" s="170"/>
      <c r="C386" s="113"/>
      <c r="D386" s="136"/>
      <c r="E386" s="137"/>
      <c r="F386" s="184"/>
    </row>
  </sheetData>
  <mergeCells count="1">
    <mergeCell ref="A1:B1"/>
  </mergeCells>
  <phoneticPr fontId="20" type="noConversion"/>
  <conditionalFormatting sqref="A4:A265 A268:A317 A343:A363">
    <cfRule type="expression" dxfId="220" priority="54">
      <formula>$B4=1</formula>
    </cfRule>
  </conditionalFormatting>
  <conditionalFormatting sqref="A4:A317 A318:A363">
    <cfRule type="expression" dxfId="219" priority="53">
      <formula>#REF!="نعم"</formula>
    </cfRule>
  </conditionalFormatting>
  <conditionalFormatting sqref="A266">
    <cfRule type="expression" dxfId="218" priority="127">
      <formula>$B267=1</formula>
    </cfRule>
  </conditionalFormatting>
  <conditionalFormatting sqref="A267">
    <cfRule type="expression" dxfId="217" priority="129">
      <formula>#REF!=1</formula>
    </cfRule>
  </conditionalFormatting>
  <conditionalFormatting sqref="A318:A342">
    <cfRule type="expression" dxfId="216" priority="341">
      <formula>#REF!=1</formula>
    </cfRule>
  </conditionalFormatting>
  <conditionalFormatting sqref="B2:B3 B426:B1048576">
    <cfRule type="duplicateValues" dxfId="215" priority="342"/>
  </conditionalFormatting>
  <conditionalFormatting sqref="B3 B256:B265 B267 B270:B286">
    <cfRule type="duplicateValues" dxfId="214" priority="123"/>
  </conditionalFormatting>
  <conditionalFormatting sqref="B4:B291 B293:B294 B319:B335">
    <cfRule type="duplicateValues" dxfId="213" priority="9"/>
  </conditionalFormatting>
  <conditionalFormatting sqref="B4:B386">
    <cfRule type="duplicateValues" dxfId="212" priority="1"/>
  </conditionalFormatting>
  <conditionalFormatting sqref="B249:B251">
    <cfRule type="duplicateValues" dxfId="211" priority="17"/>
  </conditionalFormatting>
  <conditionalFormatting sqref="B252:B255">
    <cfRule type="duplicateValues" dxfId="210" priority="11"/>
  </conditionalFormatting>
  <conditionalFormatting sqref="B256:B265 B267 B270:B286">
    <cfRule type="duplicateValues" dxfId="209" priority="345"/>
  </conditionalFormatting>
  <conditionalFormatting sqref="B284:B285">
    <cfRule type="duplicateValues" dxfId="208" priority="10"/>
  </conditionalFormatting>
  <conditionalFormatting sqref="B287:B291 B293:B294 B319:B335">
    <cfRule type="duplicateValues" dxfId="207" priority="31"/>
  </conditionalFormatting>
  <conditionalFormatting sqref="B295:B313">
    <cfRule type="duplicateValues" dxfId="206" priority="394"/>
  </conditionalFormatting>
  <conditionalFormatting sqref="B305">
    <cfRule type="duplicateValues" dxfId="205" priority="5"/>
  </conditionalFormatting>
  <conditionalFormatting sqref="B314:B317">
    <cfRule type="duplicateValues" dxfId="204" priority="3"/>
  </conditionalFormatting>
  <conditionalFormatting sqref="B319:B335 B4:B313">
    <cfRule type="duplicateValues" dxfId="203" priority="395"/>
  </conditionalFormatting>
  <conditionalFormatting sqref="B336:B386">
    <cfRule type="duplicateValues" dxfId="202" priority="2"/>
  </conditionalFormatting>
  <conditionalFormatting sqref="B4:C22 B24:C40 B23">
    <cfRule type="duplicateValues" dxfId="201" priority="23"/>
  </conditionalFormatting>
  <conditionalFormatting sqref="B47:C49 B46 B41:C45">
    <cfRule type="duplicateValues" dxfId="200" priority="21"/>
  </conditionalFormatting>
  <conditionalFormatting sqref="B50:C228">
    <cfRule type="duplicateValues" dxfId="199" priority="22"/>
  </conditionalFormatting>
  <conditionalFormatting sqref="C4:C255">
    <cfRule type="timePeriod" dxfId="198" priority="13" timePeriod="yesterday">
      <formula>FLOOR(C4,1)=TODAY()-1</formula>
    </cfRule>
  </conditionalFormatting>
  <conditionalFormatting sqref="D249:D251">
    <cfRule type="expression" dxfId="197" priority="16">
      <formula>$A249=1</formula>
    </cfRule>
    <cfRule type="expression" dxfId="196" priority="15">
      <formula>#REF!="نعم"</formula>
    </cfRule>
  </conditionalFormatting>
  <conditionalFormatting sqref="E1">
    <cfRule type="cellIs" dxfId="195" priority="44" operator="equal">
      <formula>"F1=E1*D1"</formula>
    </cfRule>
  </conditionalFormatting>
  <dataValidations xWindow="67" yWindow="628" count="3">
    <dataValidation allowBlank="1" showInputMessage="1" showErrorMessage="1" prompt="هذا عمود تلقائي. _x000a__x000a_تشير أيقونة العلامة في هذا العمود إلى العناصر الموجودة في قائمة المخزون والجاهزة لإعادة الطلب. وتظهر أيقونات العلامة فقط عند تحديد القيمة &quot;نعم&quot; في L2 وعندما يتوافق العنصر مع معايير إعادة الطلب." sqref="B3" xr:uid="{00000000-0002-0000-0000-000001000000}"/>
    <dataValidation allowBlank="1" showInputMessage="1" showErrorMessage="1" prompt="أدخل اسم العنصر في هذا العمود" sqref="C3" xr:uid="{00000000-0002-0000-0000-000003000000}"/>
    <dataValidation allowBlank="1" showInputMessage="1" showErrorMessage="1" prompt="هذا عمود تلقائي._x000a__x000a_ويتم تلقائياً حساب قيمة المخزون لكل عنصر في هذا العمود." sqref="D3" xr:uid="{00000000-0002-0000-0000-000008000000}"/>
  </dataValidations>
  <pageMargins left="0.25" right="0.25" top="0.75" bottom="0.75" header="0.3" footer="0.3"/>
  <pageSetup paperSize="9" scale="60" fitToHeight="0" orientation="portrait" r:id="rId1"/>
  <drawing r:id="rId2"/>
  <tableParts count="4"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8" id="{283E6DE2-02AC-436F-9FC7-4DA8036AC037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B249:B251</xm:sqref>
        </x14:conditionalFormatting>
        <x14:conditionalFormatting xmlns:xm="http://schemas.microsoft.com/office/excel/2006/main">
          <x14:cfRule type="iconSet" priority="12" id="{DA2B3C1E-8BEF-4E48-80C7-1D6362FA5DFF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B252:B255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A101-D207-41D2-AEF6-8C6E35162228}">
  <sheetPr>
    <pageSetUpPr fitToPage="1"/>
  </sheetPr>
  <dimension ref="A1:H425"/>
  <sheetViews>
    <sheetView showGridLines="0" rightToLeft="1" tabSelected="1" topLeftCell="A139" zoomScale="84" zoomScaleNormal="84" workbookViewId="0">
      <selection activeCell="C130" sqref="C130"/>
    </sheetView>
  </sheetViews>
  <sheetFormatPr defaultColWidth="8.59765625" defaultRowHeight="24" customHeight="1" thickTop="1" thickBottom="1" x14ac:dyDescent="0.3"/>
  <cols>
    <col min="1" max="1" width="7.8984375" style="45" customWidth="1"/>
    <col min="2" max="2" width="32.3984375" style="2" customWidth="1"/>
    <col min="3" max="3" width="10.3984375" style="3" customWidth="1"/>
    <col min="4" max="4" width="16.69921875" style="7" customWidth="1"/>
    <col min="5" max="5" width="14.69921875" style="8" customWidth="1"/>
    <col min="6" max="6" width="12.19921875" style="11" customWidth="1"/>
    <col min="7" max="7" width="17" style="11" customWidth="1"/>
    <col min="8" max="8" width="41.09765625" style="41" customWidth="1"/>
    <col min="9" max="16384" width="8.59765625" style="5"/>
  </cols>
  <sheetData>
    <row r="1" spans="1:8" s="4" customFormat="1" ht="116.25" customHeight="1" thickBot="1" x14ac:dyDescent="0.3">
      <c r="A1" s="196"/>
      <c r="B1" s="197"/>
      <c r="C1" s="1"/>
      <c r="D1" s="6"/>
      <c r="F1" s="12"/>
      <c r="G1" s="12"/>
      <c r="H1" s="34"/>
    </row>
    <row r="2" spans="1:8" ht="23.25" customHeight="1" thickTop="1" thickBot="1" x14ac:dyDescent="0.3">
      <c r="A2" s="47"/>
      <c r="B2" s="9"/>
      <c r="C2" s="10"/>
      <c r="D2" s="13"/>
      <c r="E2" s="14"/>
      <c r="F2" s="15"/>
      <c r="G2" s="15"/>
      <c r="H2" s="35"/>
    </row>
    <row r="3" spans="1:8" s="2" customFormat="1" ht="50.1" customHeight="1" thickTop="1" thickBot="1" x14ac:dyDescent="0.45">
      <c r="A3" s="49" t="s">
        <v>262</v>
      </c>
      <c r="B3" s="68" t="s">
        <v>0</v>
      </c>
      <c r="C3" s="68" t="s">
        <v>2</v>
      </c>
      <c r="D3" s="69" t="s">
        <v>3</v>
      </c>
      <c r="E3" s="70" t="s">
        <v>519</v>
      </c>
      <c r="F3" s="71" t="s">
        <v>1</v>
      </c>
      <c r="G3" s="71" t="s">
        <v>63</v>
      </c>
      <c r="H3" s="33" t="s">
        <v>520</v>
      </c>
    </row>
    <row r="4" spans="1:8" ht="24" customHeight="1" thickTop="1" thickBot="1" x14ac:dyDescent="0.35">
      <c r="A4" s="48">
        <v>1</v>
      </c>
      <c r="B4" s="74" t="s">
        <v>48</v>
      </c>
      <c r="C4" s="75" t="s">
        <v>62</v>
      </c>
      <c r="D4" s="76">
        <v>46219</v>
      </c>
      <c r="E4" s="77">
        <v>4</v>
      </c>
      <c r="F4" s="78">
        <v>2.5</v>
      </c>
      <c r="G4" s="78">
        <f>Inventory_List_Table5[[#This Row],[سحب أيوب ]]*Inventory_List_Table5[[#This Row],[التكلفة]]</f>
        <v>10</v>
      </c>
      <c r="H4" s="36"/>
    </row>
    <row r="5" spans="1:8" ht="24" customHeight="1" thickTop="1" thickBot="1" x14ac:dyDescent="0.35">
      <c r="A5" s="46">
        <v>2</v>
      </c>
      <c r="B5" s="79" t="s">
        <v>58</v>
      </c>
      <c r="C5" s="80" t="s">
        <v>62</v>
      </c>
      <c r="D5" s="65">
        <v>46219</v>
      </c>
      <c r="E5" s="81">
        <v>6</v>
      </c>
      <c r="F5" s="82">
        <v>0.5</v>
      </c>
      <c r="G5" s="78">
        <f>Inventory_List_Table5[[#This Row],[سحب أيوب ]]*Inventory_List_Table5[[#This Row],[التكلفة]]</f>
        <v>3</v>
      </c>
      <c r="H5" s="37"/>
    </row>
    <row r="6" spans="1:8" ht="24" customHeight="1" thickTop="1" thickBot="1" x14ac:dyDescent="0.35">
      <c r="A6" s="46">
        <v>3</v>
      </c>
      <c r="B6" s="79" t="s">
        <v>86</v>
      </c>
      <c r="C6" s="83" t="s">
        <v>62</v>
      </c>
      <c r="D6" s="64">
        <v>46219</v>
      </c>
      <c r="E6" s="84">
        <v>47</v>
      </c>
      <c r="F6" s="82">
        <v>0.16</v>
      </c>
      <c r="G6" s="78">
        <f>Inventory_List_Table5[[#This Row],[سحب أيوب ]]*Inventory_List_Table5[[#This Row],[التكلفة]]</f>
        <v>7.5200000000000005</v>
      </c>
      <c r="H6" s="37"/>
    </row>
    <row r="7" spans="1:8" ht="24" customHeight="1" thickTop="1" thickBot="1" x14ac:dyDescent="0.35">
      <c r="A7" s="46">
        <v>4</v>
      </c>
      <c r="B7" s="79" t="s">
        <v>84</v>
      </c>
      <c r="C7" s="83" t="s">
        <v>62</v>
      </c>
      <c r="D7" s="64">
        <v>46219</v>
      </c>
      <c r="E7" s="84">
        <v>36</v>
      </c>
      <c r="F7" s="82">
        <v>0.16</v>
      </c>
      <c r="G7" s="78">
        <f>Inventory_List_Table5[[#This Row],[سحب أيوب ]]*Inventory_List_Table5[[#This Row],[التكلفة]]</f>
        <v>5.76</v>
      </c>
      <c r="H7" s="37"/>
    </row>
    <row r="8" spans="1:8" ht="24" customHeight="1" thickTop="1" thickBot="1" x14ac:dyDescent="0.35">
      <c r="A8" s="46">
        <v>5</v>
      </c>
      <c r="B8" s="79" t="s">
        <v>39</v>
      </c>
      <c r="C8" s="83" t="s">
        <v>62</v>
      </c>
      <c r="D8" s="64">
        <v>46219</v>
      </c>
      <c r="E8" s="84">
        <v>30</v>
      </c>
      <c r="F8" s="82">
        <v>0.125</v>
      </c>
      <c r="G8" s="82">
        <f>Inventory_List_Table5[[#This Row],[سحب أيوب ]]*Inventory_List_Table5[[#This Row],[التكلفة]]</f>
        <v>3.75</v>
      </c>
      <c r="H8" s="37"/>
    </row>
    <row r="9" spans="1:8" ht="24" customHeight="1" thickTop="1" thickBot="1" x14ac:dyDescent="0.35">
      <c r="A9" s="46">
        <v>6</v>
      </c>
      <c r="B9" s="79" t="s">
        <v>83</v>
      </c>
      <c r="C9" s="83" t="s">
        <v>62</v>
      </c>
      <c r="D9" s="64">
        <v>46219</v>
      </c>
      <c r="E9" s="84">
        <v>47</v>
      </c>
      <c r="F9" s="82">
        <v>0.37</v>
      </c>
      <c r="G9" s="82">
        <f>Inventory_List_Table5[[#This Row],[سحب أيوب ]]*Inventory_List_Table5[[#This Row],[التكلفة]]</f>
        <v>17.39</v>
      </c>
      <c r="H9" s="37"/>
    </row>
    <row r="10" spans="1:8" ht="24" customHeight="1" thickTop="1" thickBot="1" x14ac:dyDescent="0.35">
      <c r="A10" s="46">
        <v>7</v>
      </c>
      <c r="B10" s="79" t="s">
        <v>81</v>
      </c>
      <c r="C10" s="83" t="s">
        <v>62</v>
      </c>
      <c r="D10" s="64">
        <v>46219</v>
      </c>
      <c r="E10" s="84">
        <v>13</v>
      </c>
      <c r="F10" s="82">
        <v>0.37</v>
      </c>
      <c r="G10" s="82">
        <f>Inventory_List_Table5[[#This Row],[سحب أيوب ]]*Inventory_List_Table5[[#This Row],[التكلفة]]</f>
        <v>4.8099999999999996</v>
      </c>
      <c r="H10" s="37"/>
    </row>
    <row r="11" spans="1:8" ht="24" customHeight="1" thickTop="1" thickBot="1" x14ac:dyDescent="0.35">
      <c r="A11" s="46">
        <v>8</v>
      </c>
      <c r="B11" s="79" t="s">
        <v>82</v>
      </c>
      <c r="C11" s="83" t="s">
        <v>62</v>
      </c>
      <c r="D11" s="64">
        <v>46219</v>
      </c>
      <c r="E11" s="84">
        <v>29</v>
      </c>
      <c r="F11" s="82">
        <v>0.37</v>
      </c>
      <c r="G11" s="82">
        <f>Inventory_List_Table5[[#This Row],[سحب أيوب ]]*Inventory_List_Table5[[#This Row],[التكلفة]]</f>
        <v>10.73</v>
      </c>
      <c r="H11" s="37"/>
    </row>
    <row r="12" spans="1:8" ht="24" customHeight="1" thickTop="1" thickBot="1" x14ac:dyDescent="0.35">
      <c r="A12" s="46">
        <v>9</v>
      </c>
      <c r="B12" s="79" t="s">
        <v>85</v>
      </c>
      <c r="C12" s="83" t="s">
        <v>62</v>
      </c>
      <c r="D12" s="64">
        <v>46219</v>
      </c>
      <c r="E12" s="84">
        <v>44</v>
      </c>
      <c r="F12" s="82">
        <v>0.12</v>
      </c>
      <c r="G12" s="82">
        <f>Inventory_List_Table5[[#This Row],[سحب أيوب ]]*Inventory_List_Table5[[#This Row],[التكلفة]]</f>
        <v>5.2799999999999994</v>
      </c>
      <c r="H12" s="37"/>
    </row>
    <row r="13" spans="1:8" ht="24" customHeight="1" thickTop="1" thickBot="1" x14ac:dyDescent="0.35">
      <c r="A13" s="46">
        <v>10</v>
      </c>
      <c r="B13" s="79" t="s">
        <v>50</v>
      </c>
      <c r="C13" s="80" t="s">
        <v>62</v>
      </c>
      <c r="D13" s="65">
        <v>46219</v>
      </c>
      <c r="E13" s="81">
        <v>2</v>
      </c>
      <c r="F13" s="82">
        <v>2.1</v>
      </c>
      <c r="G13" s="82">
        <f>Inventory_List_Table5[[#This Row],[سحب أيوب ]]*Inventory_List_Table5[[#This Row],[التكلفة]]</f>
        <v>4.2</v>
      </c>
      <c r="H13" s="37"/>
    </row>
    <row r="14" spans="1:8" ht="24" customHeight="1" thickTop="1" thickBot="1" x14ac:dyDescent="0.35">
      <c r="A14" s="46">
        <v>11</v>
      </c>
      <c r="B14" s="79" t="s">
        <v>49</v>
      </c>
      <c r="C14" s="83" t="s">
        <v>62</v>
      </c>
      <c r="D14" s="64">
        <v>46219</v>
      </c>
      <c r="E14" s="84">
        <v>2</v>
      </c>
      <c r="F14" s="82">
        <v>1.85</v>
      </c>
      <c r="G14" s="82">
        <f>Inventory_List_Table5[[#This Row],[سحب أيوب ]]*Inventory_List_Table5[[#This Row],[التكلفة]]</f>
        <v>3.7</v>
      </c>
      <c r="H14" s="37"/>
    </row>
    <row r="15" spans="1:8" ht="24" customHeight="1" thickTop="1" thickBot="1" x14ac:dyDescent="0.35">
      <c r="A15" s="46">
        <v>12</v>
      </c>
      <c r="B15" s="79" t="s">
        <v>32</v>
      </c>
      <c r="C15" s="80" t="s">
        <v>62</v>
      </c>
      <c r="D15" s="65">
        <v>46219</v>
      </c>
      <c r="E15" s="81">
        <v>11</v>
      </c>
      <c r="F15" s="82">
        <v>1.9</v>
      </c>
      <c r="G15" s="82">
        <f>Inventory_List_Table5[[#This Row],[سحب أيوب ]]*Inventory_List_Table5[[#This Row],[التكلفة]]</f>
        <v>20.9</v>
      </c>
      <c r="H15" s="37"/>
    </row>
    <row r="16" spans="1:8" ht="24" customHeight="1" thickTop="1" thickBot="1" x14ac:dyDescent="0.35">
      <c r="A16" s="46">
        <v>13</v>
      </c>
      <c r="B16" s="79" t="s">
        <v>51</v>
      </c>
      <c r="C16" s="83" t="s">
        <v>62</v>
      </c>
      <c r="D16" s="64">
        <v>46219</v>
      </c>
      <c r="E16" s="84">
        <v>6</v>
      </c>
      <c r="F16" s="82">
        <v>0.75</v>
      </c>
      <c r="G16" s="82">
        <f>Inventory_List_Table5[[#This Row],[سحب أيوب ]]*Inventory_List_Table5[[#This Row],[التكلفة]]</f>
        <v>4.5</v>
      </c>
      <c r="H16" s="37"/>
    </row>
    <row r="17" spans="1:8" ht="24" customHeight="1" thickTop="1" thickBot="1" x14ac:dyDescent="0.35">
      <c r="A17" s="46">
        <v>14</v>
      </c>
      <c r="B17" s="79" t="s">
        <v>43</v>
      </c>
      <c r="C17" s="83" t="s">
        <v>62</v>
      </c>
      <c r="D17" s="64">
        <v>46219</v>
      </c>
      <c r="E17" s="84">
        <v>1</v>
      </c>
      <c r="F17" s="82">
        <v>3</v>
      </c>
      <c r="G17" s="82">
        <f>Inventory_List_Table5[[#This Row],[سحب أيوب ]]*Inventory_List_Table5[[#This Row],[التكلفة]]</f>
        <v>3</v>
      </c>
      <c r="H17" s="37"/>
    </row>
    <row r="18" spans="1:8" ht="24" customHeight="1" thickTop="1" thickBot="1" x14ac:dyDescent="0.35">
      <c r="A18" s="46">
        <v>15</v>
      </c>
      <c r="B18" s="79" t="s">
        <v>74</v>
      </c>
      <c r="C18" s="83" t="s">
        <v>62</v>
      </c>
      <c r="D18" s="64">
        <v>46219</v>
      </c>
      <c r="E18" s="84">
        <v>52</v>
      </c>
      <c r="F18" s="82">
        <v>0.29499999999999998</v>
      </c>
      <c r="G18" s="82">
        <f>Inventory_List_Table5[[#This Row],[سحب أيوب ]]*Inventory_List_Table5[[#This Row],[التكلفة]]</f>
        <v>15.34</v>
      </c>
      <c r="H18" s="37"/>
    </row>
    <row r="19" spans="1:8" ht="24" customHeight="1" thickTop="1" thickBot="1" x14ac:dyDescent="0.35">
      <c r="A19" s="46">
        <v>16</v>
      </c>
      <c r="B19" s="79" t="s">
        <v>73</v>
      </c>
      <c r="C19" s="83" t="s">
        <v>62</v>
      </c>
      <c r="D19" s="64">
        <v>46219</v>
      </c>
      <c r="E19" s="84">
        <v>51</v>
      </c>
      <c r="F19" s="82">
        <v>0.21</v>
      </c>
      <c r="G19" s="82">
        <f>Inventory_List_Table5[[#This Row],[سحب أيوب ]]*Inventory_List_Table5[[#This Row],[التكلفة]]</f>
        <v>10.709999999999999</v>
      </c>
      <c r="H19" s="37"/>
    </row>
    <row r="20" spans="1:8" ht="24" customHeight="1" thickTop="1" thickBot="1" x14ac:dyDescent="0.35">
      <c r="A20" s="46">
        <v>17</v>
      </c>
      <c r="B20" s="79" t="s">
        <v>75</v>
      </c>
      <c r="C20" s="83" t="s">
        <v>62</v>
      </c>
      <c r="D20" s="64">
        <v>46219</v>
      </c>
      <c r="E20" s="84">
        <v>51</v>
      </c>
      <c r="F20" s="82">
        <v>0.46</v>
      </c>
      <c r="G20" s="82">
        <f>Inventory_List_Table5[[#This Row],[سحب أيوب ]]*Inventory_List_Table5[[#This Row],[التكلفة]]</f>
        <v>23.46</v>
      </c>
      <c r="H20" s="37"/>
    </row>
    <row r="21" spans="1:8" ht="27.75" customHeight="1" thickTop="1" thickBot="1" x14ac:dyDescent="0.35">
      <c r="A21" s="46">
        <v>18</v>
      </c>
      <c r="B21" s="79" t="s">
        <v>71</v>
      </c>
      <c r="C21" s="83" t="s">
        <v>62</v>
      </c>
      <c r="D21" s="64">
        <v>46219</v>
      </c>
      <c r="E21" s="84">
        <v>45</v>
      </c>
      <c r="F21" s="82">
        <v>0.42</v>
      </c>
      <c r="G21" s="82">
        <f>Inventory_List_Table5[[#This Row],[سحب أيوب ]]*Inventory_List_Table5[[#This Row],[التكلفة]]</f>
        <v>18.899999999999999</v>
      </c>
      <c r="H21" s="37"/>
    </row>
    <row r="22" spans="1:8" ht="27.75" customHeight="1" thickTop="1" thickBot="1" x14ac:dyDescent="0.35">
      <c r="A22" s="46">
        <v>19</v>
      </c>
      <c r="B22" s="79" t="s">
        <v>72</v>
      </c>
      <c r="C22" s="83" t="s">
        <v>62</v>
      </c>
      <c r="D22" s="64">
        <v>46219</v>
      </c>
      <c r="E22" s="84">
        <v>50</v>
      </c>
      <c r="F22" s="82">
        <v>0.26</v>
      </c>
      <c r="G22" s="82">
        <f>Inventory_List_Table5[[#This Row],[سحب أيوب ]]*Inventory_List_Table5[[#This Row],[التكلفة]]</f>
        <v>13</v>
      </c>
      <c r="H22" s="37"/>
    </row>
    <row r="23" spans="1:8" ht="24" customHeight="1" thickTop="1" thickBot="1" x14ac:dyDescent="0.35">
      <c r="A23" s="46">
        <v>20</v>
      </c>
      <c r="B23" s="79" t="s">
        <v>25</v>
      </c>
      <c r="C23" s="83" t="s">
        <v>62</v>
      </c>
      <c r="D23" s="64">
        <v>46219</v>
      </c>
      <c r="E23" s="84">
        <v>25</v>
      </c>
      <c r="F23" s="82">
        <v>2.6</v>
      </c>
      <c r="G23" s="82">
        <f>Inventory_List_Table5[[#This Row],[سحب أيوب ]]*Inventory_List_Table5[[#This Row],[التكلفة]]</f>
        <v>65</v>
      </c>
      <c r="H23" s="37"/>
    </row>
    <row r="24" spans="1:8" ht="24" customHeight="1" thickTop="1" thickBot="1" x14ac:dyDescent="0.35">
      <c r="A24" s="46"/>
      <c r="B24" s="79" t="s">
        <v>17</v>
      </c>
      <c r="C24" s="80" t="s">
        <v>62</v>
      </c>
      <c r="D24" s="65">
        <v>46219</v>
      </c>
      <c r="E24" s="81">
        <v>7</v>
      </c>
      <c r="F24" s="62">
        <v>7</v>
      </c>
      <c r="G24" s="62">
        <f>Inventory_List_Table5[[#This Row],[سحب أيوب ]]*Inventory_List_Table5[[#This Row],[التكلفة]]</f>
        <v>49</v>
      </c>
      <c r="H24" s="37"/>
    </row>
    <row r="25" spans="1:8" ht="24" customHeight="1" thickTop="1" thickBot="1" x14ac:dyDescent="0.35">
      <c r="A25" s="46">
        <v>21</v>
      </c>
      <c r="B25" s="79" t="s">
        <v>12</v>
      </c>
      <c r="C25" s="80" t="s">
        <v>62</v>
      </c>
      <c r="D25" s="65">
        <v>46219</v>
      </c>
      <c r="E25" s="81">
        <v>4</v>
      </c>
      <c r="F25" s="62">
        <v>7.75</v>
      </c>
      <c r="G25" s="62">
        <f>Inventory_List_Table5[[#This Row],[سحب أيوب ]]*Inventory_List_Table5[[#This Row],[التكلفة]]</f>
        <v>31</v>
      </c>
      <c r="H25" s="37"/>
    </row>
    <row r="26" spans="1:8" ht="24" customHeight="1" thickTop="1" thickBot="1" x14ac:dyDescent="0.35">
      <c r="A26" s="46">
        <v>22</v>
      </c>
      <c r="B26" s="79" t="s">
        <v>21</v>
      </c>
      <c r="C26" s="83" t="s">
        <v>62</v>
      </c>
      <c r="D26" s="64">
        <v>46219</v>
      </c>
      <c r="E26" s="84">
        <v>10</v>
      </c>
      <c r="F26" s="62">
        <v>2.7</v>
      </c>
      <c r="G26" s="62">
        <f>Inventory_List_Table5[[#This Row],[سحب أيوب ]]*Inventory_List_Table5[[#This Row],[التكلفة]]</f>
        <v>27</v>
      </c>
      <c r="H26" s="37"/>
    </row>
    <row r="27" spans="1:8" ht="24" customHeight="1" thickTop="1" thickBot="1" x14ac:dyDescent="0.35">
      <c r="A27" s="46">
        <v>24</v>
      </c>
      <c r="B27" s="79" t="s">
        <v>20</v>
      </c>
      <c r="C27" s="80" t="s">
        <v>62</v>
      </c>
      <c r="D27" s="65">
        <v>46219</v>
      </c>
      <c r="E27" s="81">
        <v>20</v>
      </c>
      <c r="F27" s="62">
        <v>2.2000000000000002</v>
      </c>
      <c r="G27" s="62">
        <f>Inventory_List_Table5[[#This Row],[سحب أيوب ]]*Inventory_List_Table5[[#This Row],[التكلفة]]</f>
        <v>44</v>
      </c>
      <c r="H27" s="37"/>
    </row>
    <row r="28" spans="1:8" ht="24" customHeight="1" thickTop="1" thickBot="1" x14ac:dyDescent="0.35">
      <c r="A28" s="46">
        <v>25</v>
      </c>
      <c r="B28" s="79" t="s">
        <v>10</v>
      </c>
      <c r="C28" s="80" t="s">
        <v>62</v>
      </c>
      <c r="D28" s="65">
        <v>46219</v>
      </c>
      <c r="E28" s="81">
        <v>45</v>
      </c>
      <c r="F28" s="62">
        <v>0.4</v>
      </c>
      <c r="G28" s="62">
        <f>Inventory_List_Table5[[#This Row],[سحب أيوب ]]*Inventory_List_Table5[[#This Row],[التكلفة]]</f>
        <v>18</v>
      </c>
      <c r="H28" s="37"/>
    </row>
    <row r="29" spans="1:8" ht="24" customHeight="1" thickTop="1" thickBot="1" x14ac:dyDescent="0.35">
      <c r="A29" s="46">
        <v>26</v>
      </c>
      <c r="B29" s="79" t="s">
        <v>27</v>
      </c>
      <c r="C29" s="83" t="s">
        <v>62</v>
      </c>
      <c r="D29" s="64">
        <v>46219</v>
      </c>
      <c r="E29" s="84">
        <v>50</v>
      </c>
      <c r="F29" s="82">
        <v>0.68</v>
      </c>
      <c r="G29" s="82">
        <f>Inventory_List_Table5[[#This Row],[سحب أيوب ]]*Inventory_List_Table5[[#This Row],[التكلفة]]</f>
        <v>34</v>
      </c>
      <c r="H29" s="37"/>
    </row>
    <row r="30" spans="1:8" ht="24" customHeight="1" thickTop="1" thickBot="1" x14ac:dyDescent="0.35">
      <c r="A30" s="46">
        <v>27</v>
      </c>
      <c r="B30" s="79" t="s">
        <v>6</v>
      </c>
      <c r="C30" s="83" t="s">
        <v>62</v>
      </c>
      <c r="D30" s="64">
        <v>46219</v>
      </c>
      <c r="E30" s="84">
        <v>9</v>
      </c>
      <c r="F30" s="62">
        <v>1.25</v>
      </c>
      <c r="G30" s="62">
        <f>Inventory_List_Table5[[#This Row],[سحب أيوب ]]*Inventory_List_Table5[[#This Row],[التكلفة]]</f>
        <v>11.25</v>
      </c>
      <c r="H30" s="37"/>
    </row>
    <row r="31" spans="1:8" ht="24" customHeight="1" thickTop="1" thickBot="1" x14ac:dyDescent="0.35">
      <c r="A31" s="46">
        <v>28</v>
      </c>
      <c r="B31" s="79" t="s">
        <v>5</v>
      </c>
      <c r="C31" s="80" t="s">
        <v>62</v>
      </c>
      <c r="D31" s="65">
        <v>46219</v>
      </c>
      <c r="E31" s="81">
        <v>5</v>
      </c>
      <c r="F31" s="62">
        <v>2.35</v>
      </c>
      <c r="G31" s="62">
        <f>Inventory_List_Table5[[#This Row],[سحب أيوب ]]*Inventory_List_Table5[[#This Row],[التكلفة]]</f>
        <v>11.75</v>
      </c>
      <c r="H31" s="37"/>
    </row>
    <row r="32" spans="1:8" ht="24" customHeight="1" thickTop="1" thickBot="1" x14ac:dyDescent="0.35">
      <c r="A32" s="46">
        <v>29</v>
      </c>
      <c r="B32" s="79" t="s">
        <v>59</v>
      </c>
      <c r="C32" s="83" t="s">
        <v>62</v>
      </c>
      <c r="D32" s="64">
        <v>46219</v>
      </c>
      <c r="E32" s="84">
        <v>6</v>
      </c>
      <c r="F32" s="82">
        <v>1.25</v>
      </c>
      <c r="G32" s="82">
        <f>Inventory_List_Table5[[#This Row],[سحب أيوب ]]*Inventory_List_Table5[[#This Row],[التكلفة]]</f>
        <v>7.5</v>
      </c>
      <c r="H32" s="37"/>
    </row>
    <row r="33" spans="1:8" ht="24" customHeight="1" thickTop="1" thickBot="1" x14ac:dyDescent="0.35">
      <c r="A33" s="46">
        <v>30</v>
      </c>
      <c r="B33" s="79" t="s">
        <v>57</v>
      </c>
      <c r="C33" s="83" t="s">
        <v>62</v>
      </c>
      <c r="D33" s="64">
        <v>46219</v>
      </c>
      <c r="E33" s="84">
        <v>1</v>
      </c>
      <c r="F33" s="82">
        <v>7.5</v>
      </c>
      <c r="G33" s="82">
        <f>Inventory_List_Table5[[#This Row],[سحب أيوب ]]*Inventory_List_Table5[[#This Row],[التكلفة]]</f>
        <v>7.5</v>
      </c>
      <c r="H33" s="37"/>
    </row>
    <row r="34" spans="1:8" ht="24" customHeight="1" thickTop="1" thickBot="1" x14ac:dyDescent="0.35">
      <c r="A34" s="46">
        <v>31</v>
      </c>
      <c r="B34" s="79" t="s">
        <v>56</v>
      </c>
      <c r="C34" s="80" t="s">
        <v>62</v>
      </c>
      <c r="D34" s="65">
        <v>46219</v>
      </c>
      <c r="E34" s="81">
        <v>1</v>
      </c>
      <c r="F34" s="82">
        <v>7</v>
      </c>
      <c r="G34" s="82">
        <f>Inventory_List_Table5[[#This Row],[سحب أيوب ]]*Inventory_List_Table5[[#This Row],[التكلفة]]</f>
        <v>7</v>
      </c>
      <c r="H34" s="37"/>
    </row>
    <row r="35" spans="1:8" ht="24" customHeight="1" thickTop="1" thickBot="1" x14ac:dyDescent="0.35">
      <c r="A35" s="46">
        <v>32</v>
      </c>
      <c r="B35" s="79" t="s">
        <v>55</v>
      </c>
      <c r="C35" s="83" t="s">
        <v>62</v>
      </c>
      <c r="D35" s="64">
        <v>46219</v>
      </c>
      <c r="E35" s="84">
        <v>1</v>
      </c>
      <c r="F35" s="82">
        <v>6</v>
      </c>
      <c r="G35" s="82">
        <f>Inventory_List_Table5[[#This Row],[سحب أيوب ]]*Inventory_List_Table5[[#This Row],[التكلفة]]</f>
        <v>6</v>
      </c>
      <c r="H35" s="37"/>
    </row>
    <row r="36" spans="1:8" ht="24" customHeight="1" thickTop="1" thickBot="1" x14ac:dyDescent="0.35">
      <c r="A36" s="46">
        <v>33</v>
      </c>
      <c r="B36" s="79" t="s">
        <v>54</v>
      </c>
      <c r="C36" s="80" t="s">
        <v>62</v>
      </c>
      <c r="D36" s="65">
        <v>46219</v>
      </c>
      <c r="E36" s="81">
        <v>1</v>
      </c>
      <c r="F36" s="82">
        <v>5</v>
      </c>
      <c r="G36" s="82">
        <f>Inventory_List_Table5[[#This Row],[سحب أيوب ]]*Inventory_List_Table5[[#This Row],[التكلفة]]</f>
        <v>5</v>
      </c>
      <c r="H36" s="37"/>
    </row>
    <row r="37" spans="1:8" ht="24" customHeight="1" thickTop="1" thickBot="1" x14ac:dyDescent="0.35">
      <c r="A37" s="46">
        <v>34</v>
      </c>
      <c r="B37" s="79" t="s">
        <v>53</v>
      </c>
      <c r="C37" s="83" t="s">
        <v>62</v>
      </c>
      <c r="D37" s="64">
        <v>46219</v>
      </c>
      <c r="E37" s="84">
        <v>1</v>
      </c>
      <c r="F37" s="82">
        <v>3.5</v>
      </c>
      <c r="G37" s="82">
        <f>Inventory_List_Table5[[#This Row],[سحب أيوب ]]*Inventory_List_Table5[[#This Row],[التكلفة]]</f>
        <v>3.5</v>
      </c>
      <c r="H37" s="37"/>
    </row>
    <row r="38" spans="1:8" ht="24" customHeight="1" thickTop="1" thickBot="1" x14ac:dyDescent="0.35">
      <c r="A38" s="46">
        <v>35</v>
      </c>
      <c r="B38" s="79" t="s">
        <v>52</v>
      </c>
      <c r="C38" s="80" t="s">
        <v>62</v>
      </c>
      <c r="D38" s="65">
        <v>46219</v>
      </c>
      <c r="E38" s="81">
        <v>1</v>
      </c>
      <c r="F38" s="82">
        <v>2</v>
      </c>
      <c r="G38" s="82">
        <f>Inventory_List_Table5[[#This Row],[سحب أيوب ]]*Inventory_List_Table5[[#This Row],[التكلفة]]</f>
        <v>2</v>
      </c>
      <c r="H38" s="37"/>
    </row>
    <row r="39" spans="1:8" ht="24" customHeight="1" thickTop="1" thickBot="1" x14ac:dyDescent="0.35">
      <c r="A39" s="46">
        <v>36</v>
      </c>
      <c r="B39" s="79" t="s">
        <v>61</v>
      </c>
      <c r="C39" s="83" t="s">
        <v>62</v>
      </c>
      <c r="D39" s="64">
        <v>46219</v>
      </c>
      <c r="E39" s="84">
        <v>100</v>
      </c>
      <c r="F39" s="82">
        <v>0.37</v>
      </c>
      <c r="G39" s="82">
        <f>Inventory_List_Table5[[#This Row],[سحب أيوب ]]*Inventory_List_Table5[[#This Row],[التكلفة]]</f>
        <v>37</v>
      </c>
      <c r="H39" s="37"/>
    </row>
    <row r="40" spans="1:8" ht="24" customHeight="1" thickTop="1" thickBot="1" x14ac:dyDescent="0.35">
      <c r="A40" s="46">
        <v>37</v>
      </c>
      <c r="B40" s="79" t="s">
        <v>23</v>
      </c>
      <c r="C40" s="83" t="s">
        <v>62</v>
      </c>
      <c r="D40" s="64">
        <v>46219</v>
      </c>
      <c r="E40" s="84">
        <v>50</v>
      </c>
      <c r="F40" s="62">
        <v>0.65</v>
      </c>
      <c r="G40" s="62">
        <f>Inventory_List_Table5[[#This Row],[سحب أيوب ]]*Inventory_List_Table5[[#This Row],[التكلفة]]</f>
        <v>32.5</v>
      </c>
      <c r="H40" s="37"/>
    </row>
    <row r="41" spans="1:8" ht="24" customHeight="1" thickTop="1" thickBot="1" x14ac:dyDescent="0.35">
      <c r="A41" s="46">
        <v>38</v>
      </c>
      <c r="B41" s="79" t="s">
        <v>30</v>
      </c>
      <c r="C41" s="80" t="s">
        <v>62</v>
      </c>
      <c r="D41" s="65">
        <v>46219</v>
      </c>
      <c r="E41" s="81">
        <v>20</v>
      </c>
      <c r="F41" s="82">
        <v>2.2000000000000002</v>
      </c>
      <c r="G41" s="82">
        <f>Inventory_List_Table5[[#This Row],[سحب أيوب ]]*Inventory_List_Table5[[#This Row],[التكلفة]]</f>
        <v>44</v>
      </c>
      <c r="H41" s="37"/>
    </row>
    <row r="42" spans="1:8" ht="24" customHeight="1" thickTop="1" thickBot="1" x14ac:dyDescent="0.35">
      <c r="A42" s="46">
        <v>39</v>
      </c>
      <c r="B42" s="79" t="s">
        <v>28</v>
      </c>
      <c r="C42" s="80" t="s">
        <v>62</v>
      </c>
      <c r="D42" s="65">
        <v>46219</v>
      </c>
      <c r="E42" s="81">
        <v>20</v>
      </c>
      <c r="F42" s="82">
        <v>0.6</v>
      </c>
      <c r="G42" s="82">
        <f>Inventory_List_Table5[[#This Row],[سحب أيوب ]]*Inventory_List_Table5[[#This Row],[التكلفة]]</f>
        <v>12</v>
      </c>
      <c r="H42" s="37"/>
    </row>
    <row r="43" spans="1:8" ht="24" customHeight="1" thickTop="1" thickBot="1" x14ac:dyDescent="0.35">
      <c r="A43" s="46">
        <v>40</v>
      </c>
      <c r="B43" s="79" t="s">
        <v>29</v>
      </c>
      <c r="C43" s="83" t="s">
        <v>62</v>
      </c>
      <c r="D43" s="64">
        <v>46219</v>
      </c>
      <c r="E43" s="84">
        <v>20</v>
      </c>
      <c r="F43" s="82">
        <v>0.85</v>
      </c>
      <c r="G43" s="82">
        <f>Inventory_List_Table5[[#This Row],[سحب أيوب ]]*Inventory_List_Table5[[#This Row],[التكلفة]]</f>
        <v>17</v>
      </c>
      <c r="H43" s="37"/>
    </row>
    <row r="44" spans="1:8" ht="24" customHeight="1" thickTop="1" thickBot="1" x14ac:dyDescent="0.35">
      <c r="A44" s="46">
        <v>41</v>
      </c>
      <c r="B44" s="79" t="s">
        <v>37</v>
      </c>
      <c r="C44" s="83" t="s">
        <v>62</v>
      </c>
      <c r="D44" s="64">
        <v>46219</v>
      </c>
      <c r="E44" s="84">
        <v>200</v>
      </c>
      <c r="F44" s="82">
        <v>0.2</v>
      </c>
      <c r="G44" s="82">
        <f>Inventory_List_Table5[[#This Row],[سحب أيوب ]]*Inventory_List_Table5[[#This Row],[التكلفة]]</f>
        <v>40</v>
      </c>
      <c r="H44" s="37"/>
    </row>
    <row r="45" spans="1:8" ht="24" customHeight="1" thickTop="1" thickBot="1" x14ac:dyDescent="0.35">
      <c r="A45" s="46">
        <v>42</v>
      </c>
      <c r="B45" s="79" t="s">
        <v>34</v>
      </c>
      <c r="C45" s="80" t="s">
        <v>62</v>
      </c>
      <c r="D45" s="65">
        <v>46219</v>
      </c>
      <c r="E45" s="81">
        <v>10</v>
      </c>
      <c r="F45" s="82">
        <v>1.5</v>
      </c>
      <c r="G45" s="82">
        <f>Inventory_List_Table5[[#This Row],[سحب أيوب ]]*Inventory_List_Table5[[#This Row],[التكلفة]]</f>
        <v>15</v>
      </c>
      <c r="H45" s="37"/>
    </row>
    <row r="46" spans="1:8" ht="24" customHeight="1" thickTop="1" thickBot="1" x14ac:dyDescent="0.35">
      <c r="A46" s="46">
        <v>43</v>
      </c>
      <c r="B46" s="79" t="s">
        <v>35</v>
      </c>
      <c r="C46" s="83" t="s">
        <v>62</v>
      </c>
      <c r="D46" s="64">
        <v>46219</v>
      </c>
      <c r="E46" s="84">
        <v>10</v>
      </c>
      <c r="F46" s="82">
        <v>1.4</v>
      </c>
      <c r="G46" s="82">
        <f>Inventory_List_Table5[[#This Row],[سحب أيوب ]]*Inventory_List_Table5[[#This Row],[التكلفة]]</f>
        <v>14</v>
      </c>
      <c r="H46" s="37"/>
    </row>
    <row r="47" spans="1:8" ht="24" customHeight="1" thickTop="1" thickBot="1" x14ac:dyDescent="0.35">
      <c r="A47" s="46">
        <v>44</v>
      </c>
      <c r="B47" s="79" t="s">
        <v>33</v>
      </c>
      <c r="C47" s="83" t="s">
        <v>62</v>
      </c>
      <c r="D47" s="64">
        <v>46219</v>
      </c>
      <c r="E47" s="84">
        <v>10</v>
      </c>
      <c r="F47" s="82">
        <v>2.2000000000000002</v>
      </c>
      <c r="G47" s="82">
        <f>Inventory_List_Table5[[#This Row],[سحب أيوب ]]*Inventory_List_Table5[[#This Row],[التكلفة]]</f>
        <v>22</v>
      </c>
      <c r="H47" s="37"/>
    </row>
    <row r="48" spans="1:8" ht="24" customHeight="1" thickTop="1" thickBot="1" x14ac:dyDescent="0.35">
      <c r="A48" s="46">
        <v>45</v>
      </c>
      <c r="B48" s="79" t="s">
        <v>80</v>
      </c>
      <c r="C48" s="83" t="s">
        <v>62</v>
      </c>
      <c r="D48" s="64">
        <v>46219</v>
      </c>
      <c r="E48" s="84">
        <v>100</v>
      </c>
      <c r="F48" s="85">
        <v>0.65</v>
      </c>
      <c r="G48" s="85">
        <f>Inventory_List_Table5[[#This Row],[سحب أيوب ]]*Inventory_List_Table5[[#This Row],[التكلفة]]</f>
        <v>65</v>
      </c>
      <c r="H48" s="37"/>
    </row>
    <row r="49" spans="1:8" ht="24" customHeight="1" thickTop="1" thickBot="1" x14ac:dyDescent="0.35">
      <c r="A49" s="46">
        <v>46</v>
      </c>
      <c r="B49" s="79" t="s">
        <v>79</v>
      </c>
      <c r="C49" s="83" t="s">
        <v>62</v>
      </c>
      <c r="D49" s="64">
        <v>46219</v>
      </c>
      <c r="E49" s="84">
        <v>100</v>
      </c>
      <c r="F49" s="85">
        <v>0.5</v>
      </c>
      <c r="G49" s="85">
        <f>Inventory_List_Table5[[#This Row],[سحب أيوب ]]*Inventory_List_Table5[[#This Row],[التكلفة]]</f>
        <v>50</v>
      </c>
      <c r="H49" s="37"/>
    </row>
    <row r="50" spans="1:8" ht="24" customHeight="1" thickTop="1" thickBot="1" x14ac:dyDescent="0.35">
      <c r="A50" s="46">
        <v>47</v>
      </c>
      <c r="B50" s="79" t="s">
        <v>36</v>
      </c>
      <c r="C50" s="80" t="s">
        <v>62</v>
      </c>
      <c r="D50" s="65">
        <v>46219</v>
      </c>
      <c r="E50" s="81">
        <v>25</v>
      </c>
      <c r="F50" s="82">
        <v>0.35</v>
      </c>
      <c r="G50" s="82">
        <f>Inventory_List_Table5[[#This Row],[سحب أيوب ]]*Inventory_List_Table5[[#This Row],[التكلفة]]</f>
        <v>8.75</v>
      </c>
      <c r="H50" s="37"/>
    </row>
    <row r="51" spans="1:8" ht="24" customHeight="1" thickTop="1" thickBot="1" x14ac:dyDescent="0.35">
      <c r="A51" s="46">
        <v>48</v>
      </c>
      <c r="B51" s="79" t="s">
        <v>77</v>
      </c>
      <c r="C51" s="83" t="s">
        <v>62</v>
      </c>
      <c r="D51" s="64">
        <v>46219</v>
      </c>
      <c r="E51" s="84">
        <v>6</v>
      </c>
      <c r="F51" s="85">
        <v>0.17</v>
      </c>
      <c r="G51" s="85">
        <f>Inventory_List_Table5[[#This Row],[سحب أيوب ]]*Inventory_List_Table5[[#This Row],[التكلفة]]</f>
        <v>1.02</v>
      </c>
      <c r="H51" s="37"/>
    </row>
    <row r="52" spans="1:8" ht="24" customHeight="1" thickTop="1" thickBot="1" x14ac:dyDescent="0.35">
      <c r="A52" s="46">
        <v>49</v>
      </c>
      <c r="B52" s="79" t="s">
        <v>78</v>
      </c>
      <c r="C52" s="83" t="s">
        <v>62</v>
      </c>
      <c r="D52" s="64">
        <v>46219</v>
      </c>
      <c r="E52" s="84">
        <v>50</v>
      </c>
      <c r="F52" s="85">
        <v>0.25</v>
      </c>
      <c r="G52" s="85">
        <f>Inventory_List_Table5[[#This Row],[سحب أيوب ]]*Inventory_List_Table5[[#This Row],[التكلفة]]</f>
        <v>12.5</v>
      </c>
      <c r="H52" s="37"/>
    </row>
    <row r="53" spans="1:8" ht="24" customHeight="1" thickTop="1" thickBot="1" x14ac:dyDescent="0.35">
      <c r="A53" s="46">
        <v>50</v>
      </c>
      <c r="B53" s="79" t="s">
        <v>40</v>
      </c>
      <c r="C53" s="80" t="s">
        <v>62</v>
      </c>
      <c r="D53" s="65">
        <v>46219</v>
      </c>
      <c r="E53" s="81">
        <v>90</v>
      </c>
      <c r="F53" s="85">
        <v>0.4</v>
      </c>
      <c r="G53" s="85">
        <f>Inventory_List_Table5[[#This Row],[سحب أيوب ]]*Inventory_List_Table5[[#This Row],[التكلفة]]</f>
        <v>36</v>
      </c>
      <c r="H53" s="37"/>
    </row>
    <row r="54" spans="1:8" ht="24" customHeight="1" thickTop="1" thickBot="1" x14ac:dyDescent="0.35">
      <c r="A54" s="46">
        <v>51</v>
      </c>
      <c r="B54" s="79" t="s">
        <v>76</v>
      </c>
      <c r="C54" s="83" t="s">
        <v>62</v>
      </c>
      <c r="D54" s="64">
        <v>46219</v>
      </c>
      <c r="E54" s="84">
        <v>52</v>
      </c>
      <c r="F54" s="85">
        <v>0.125</v>
      </c>
      <c r="G54" s="85">
        <f>Inventory_List_Table5[[#This Row],[سحب أيوب ]]*Inventory_List_Table5[[#This Row],[التكلفة]]</f>
        <v>6.5</v>
      </c>
      <c r="H54" s="37"/>
    </row>
    <row r="55" spans="1:8" ht="24" customHeight="1" thickTop="1" thickBot="1" x14ac:dyDescent="0.35">
      <c r="A55" s="46">
        <v>52</v>
      </c>
      <c r="B55" s="79" t="s">
        <v>64</v>
      </c>
      <c r="C55" s="83" t="s">
        <v>62</v>
      </c>
      <c r="D55" s="64">
        <v>46219</v>
      </c>
      <c r="E55" s="84">
        <v>24</v>
      </c>
      <c r="F55" s="86">
        <v>1</v>
      </c>
      <c r="G55" s="86">
        <f>Inventory_List_Table5[[#This Row],[سحب أيوب ]]*Inventory_List_Table5[[#This Row],[التكلفة]]</f>
        <v>24</v>
      </c>
      <c r="H55" s="37"/>
    </row>
    <row r="56" spans="1:8" ht="24" customHeight="1" thickTop="1" thickBot="1" x14ac:dyDescent="0.35">
      <c r="A56" s="46">
        <v>53</v>
      </c>
      <c r="B56" s="79" t="s">
        <v>26</v>
      </c>
      <c r="C56" s="80" t="s">
        <v>62</v>
      </c>
      <c r="D56" s="65">
        <v>46219</v>
      </c>
      <c r="E56" s="81">
        <v>10</v>
      </c>
      <c r="F56" s="85">
        <v>2.5</v>
      </c>
      <c r="G56" s="85">
        <f>Inventory_List_Table5[[#This Row],[سحب أيوب ]]*Inventory_List_Table5[[#This Row],[التكلفة]]</f>
        <v>25</v>
      </c>
      <c r="H56" s="37"/>
    </row>
    <row r="57" spans="1:8" ht="24" customHeight="1" thickTop="1" thickBot="1" x14ac:dyDescent="0.35">
      <c r="A57" s="46">
        <v>54</v>
      </c>
      <c r="B57" s="79" t="s">
        <v>22</v>
      </c>
      <c r="C57" s="80" t="s">
        <v>62</v>
      </c>
      <c r="D57" s="65">
        <v>46219</v>
      </c>
      <c r="E57" s="81">
        <v>10</v>
      </c>
      <c r="F57" s="86">
        <v>1.5</v>
      </c>
      <c r="G57" s="86">
        <f>Inventory_List_Table5[[#This Row],[سحب أيوب ]]*Inventory_List_Table5[[#This Row],[التكلفة]]</f>
        <v>15</v>
      </c>
      <c r="H57" s="37"/>
    </row>
    <row r="58" spans="1:8" ht="24" customHeight="1" thickTop="1" thickBot="1" x14ac:dyDescent="0.35">
      <c r="A58" s="46">
        <v>55</v>
      </c>
      <c r="B58" s="79" t="s">
        <v>13</v>
      </c>
      <c r="C58" s="83" t="s">
        <v>62</v>
      </c>
      <c r="D58" s="64">
        <v>46219</v>
      </c>
      <c r="E58" s="84">
        <v>10</v>
      </c>
      <c r="F58" s="86">
        <v>1.75</v>
      </c>
      <c r="G58" s="86">
        <f>Inventory_List_Table5[[#This Row],[سحب أيوب ]]*Inventory_List_Table5[[#This Row],[التكلفة]]</f>
        <v>17.5</v>
      </c>
      <c r="H58" s="37"/>
    </row>
    <row r="59" spans="1:8" ht="24" customHeight="1" thickTop="1" thickBot="1" x14ac:dyDescent="0.35">
      <c r="A59" s="46">
        <v>56</v>
      </c>
      <c r="B59" s="79" t="s">
        <v>14</v>
      </c>
      <c r="C59" s="80" t="s">
        <v>62</v>
      </c>
      <c r="D59" s="65">
        <v>46219</v>
      </c>
      <c r="E59" s="81">
        <v>12</v>
      </c>
      <c r="F59" s="86">
        <v>1.5</v>
      </c>
      <c r="G59" s="86">
        <f>Inventory_List_Table5[[#This Row],[سحب أيوب ]]*Inventory_List_Table5[[#This Row],[التكلفة]]</f>
        <v>18</v>
      </c>
      <c r="H59" s="37"/>
    </row>
    <row r="60" spans="1:8" ht="24" customHeight="1" thickTop="1" thickBot="1" x14ac:dyDescent="0.35">
      <c r="A60" s="46">
        <v>57</v>
      </c>
      <c r="B60" s="79" t="s">
        <v>8</v>
      </c>
      <c r="C60" s="83" t="s">
        <v>62</v>
      </c>
      <c r="D60" s="64">
        <v>46219</v>
      </c>
      <c r="E60" s="84">
        <v>16</v>
      </c>
      <c r="F60" s="86">
        <v>0.95</v>
      </c>
      <c r="G60" s="86">
        <f>Inventory_List_Table5[[#This Row],[سحب أيوب ]]*Inventory_List_Table5[[#This Row],[التكلفة]]</f>
        <v>15.2</v>
      </c>
      <c r="H60" s="37"/>
    </row>
    <row r="61" spans="1:8" ht="24" customHeight="1" thickTop="1" thickBot="1" x14ac:dyDescent="0.35">
      <c r="A61" s="46">
        <v>58</v>
      </c>
      <c r="B61" s="79" t="s">
        <v>69</v>
      </c>
      <c r="C61" s="83" t="s">
        <v>62</v>
      </c>
      <c r="D61" s="64">
        <v>46219</v>
      </c>
      <c r="E61" s="84">
        <v>101</v>
      </c>
      <c r="F61" s="85">
        <v>0.12</v>
      </c>
      <c r="G61" s="85">
        <f>Inventory_List_Table5[[#This Row],[سحب أيوب ]]*Inventory_List_Table5[[#This Row],[التكلفة]]</f>
        <v>12.12</v>
      </c>
      <c r="H61" s="37"/>
    </row>
    <row r="62" spans="1:8" ht="24" customHeight="1" thickTop="1" thickBot="1" x14ac:dyDescent="0.35">
      <c r="A62" s="46">
        <v>59</v>
      </c>
      <c r="B62" s="79" t="s">
        <v>68</v>
      </c>
      <c r="C62" s="83" t="s">
        <v>62</v>
      </c>
      <c r="D62" s="64">
        <v>46219</v>
      </c>
      <c r="E62" s="84">
        <v>96</v>
      </c>
      <c r="F62" s="85">
        <v>0.08</v>
      </c>
      <c r="G62" s="85">
        <f>Inventory_List_Table5[[#This Row],[سحب أيوب ]]*Inventory_List_Table5[[#This Row],[التكلفة]]</f>
        <v>7.68</v>
      </c>
      <c r="H62" s="37"/>
    </row>
    <row r="63" spans="1:8" ht="24" customHeight="1" thickTop="1" thickBot="1" x14ac:dyDescent="0.35">
      <c r="A63" s="46">
        <v>60</v>
      </c>
      <c r="B63" s="79" t="s">
        <v>521</v>
      </c>
      <c r="C63" s="83" t="s">
        <v>62</v>
      </c>
      <c r="D63" s="64">
        <v>46219</v>
      </c>
      <c r="E63" s="84">
        <v>40</v>
      </c>
      <c r="F63" s="86">
        <v>1.35</v>
      </c>
      <c r="G63" s="86">
        <f>Inventory_List_Table5[[#This Row],[سحب أيوب ]]*Inventory_List_Table5[[#This Row],[التكلفة]]</f>
        <v>54</v>
      </c>
      <c r="H63" s="37"/>
    </row>
    <row r="64" spans="1:8" ht="24" customHeight="1" thickTop="1" thickBot="1" x14ac:dyDescent="0.35">
      <c r="A64" s="46">
        <v>61</v>
      </c>
      <c r="B64" s="79" t="s">
        <v>18</v>
      </c>
      <c r="C64" s="80" t="s">
        <v>62</v>
      </c>
      <c r="D64" s="65">
        <v>46219</v>
      </c>
      <c r="E64" s="81">
        <v>20</v>
      </c>
      <c r="F64" s="62">
        <v>1.05</v>
      </c>
      <c r="G64" s="62">
        <f>Inventory_List_Table5[[#This Row],[سحب أيوب ]]*Inventory_List_Table5[[#This Row],[التكلفة]]</f>
        <v>21</v>
      </c>
      <c r="H64" s="37"/>
    </row>
    <row r="65" spans="1:8" ht="24" customHeight="1" thickTop="1" thickBot="1" x14ac:dyDescent="0.35">
      <c r="A65" s="46">
        <v>62</v>
      </c>
      <c r="B65" s="79" t="s">
        <v>9</v>
      </c>
      <c r="C65" s="83" t="s">
        <v>62</v>
      </c>
      <c r="D65" s="64">
        <v>46219</v>
      </c>
      <c r="E65" s="84">
        <v>10</v>
      </c>
      <c r="F65" s="86">
        <v>1.1499999999999999</v>
      </c>
      <c r="G65" s="86">
        <f>Inventory_List_Table5[[#This Row],[سحب أيوب ]]*Inventory_List_Table5[[#This Row],[التكلفة]]</f>
        <v>11.5</v>
      </c>
      <c r="H65" s="37"/>
    </row>
    <row r="66" spans="1:8" ht="24" customHeight="1" thickTop="1" thickBot="1" x14ac:dyDescent="0.35">
      <c r="A66" s="46">
        <v>63</v>
      </c>
      <c r="B66" s="79" t="s">
        <v>15</v>
      </c>
      <c r="C66" s="83" t="s">
        <v>62</v>
      </c>
      <c r="D66" s="64">
        <v>46219</v>
      </c>
      <c r="E66" s="84">
        <v>10</v>
      </c>
      <c r="F66" s="62">
        <v>0.95</v>
      </c>
      <c r="G66" s="62">
        <f>Inventory_List_Table5[[#This Row],[سحب أيوب ]]*Inventory_List_Table5[[#This Row],[التكلفة]]</f>
        <v>9.5</v>
      </c>
      <c r="H66" s="37"/>
    </row>
    <row r="67" spans="1:8" ht="24" customHeight="1" thickTop="1" thickBot="1" x14ac:dyDescent="0.35">
      <c r="A67" s="46">
        <v>64</v>
      </c>
      <c r="B67" s="79" t="s">
        <v>265</v>
      </c>
      <c r="C67" s="80" t="s">
        <v>62</v>
      </c>
      <c r="D67" s="65">
        <v>46219</v>
      </c>
      <c r="E67" s="81">
        <v>10</v>
      </c>
      <c r="F67" s="62">
        <v>1.4</v>
      </c>
      <c r="G67" s="62">
        <f>Inventory_List_Table5[[#This Row],[سحب أيوب ]]*Inventory_List_Table5[[#This Row],[التكلفة]]</f>
        <v>14</v>
      </c>
      <c r="H67" s="37"/>
    </row>
    <row r="68" spans="1:8" ht="24" customHeight="1" thickTop="1" thickBot="1" x14ac:dyDescent="0.35">
      <c r="A68" s="46">
        <v>65</v>
      </c>
      <c r="B68" s="79" t="s">
        <v>47</v>
      </c>
      <c r="C68" s="83" t="s">
        <v>62</v>
      </c>
      <c r="D68" s="64">
        <v>46219</v>
      </c>
      <c r="E68" s="84">
        <v>12</v>
      </c>
      <c r="F68" s="82">
        <v>0.9</v>
      </c>
      <c r="G68" s="82">
        <f>Inventory_List_Table5[[#This Row],[سحب أيوب ]]*Inventory_List_Table5[[#This Row],[التكلفة]]</f>
        <v>10.8</v>
      </c>
      <c r="H68" s="37"/>
    </row>
    <row r="69" spans="1:8" ht="24" customHeight="1" thickTop="1" thickBot="1" x14ac:dyDescent="0.35">
      <c r="A69" s="46">
        <v>66</v>
      </c>
      <c r="B69" s="79" t="s">
        <v>46</v>
      </c>
      <c r="C69" s="80" t="s">
        <v>62</v>
      </c>
      <c r="D69" s="65">
        <v>46219</v>
      </c>
      <c r="E69" s="81">
        <v>12</v>
      </c>
      <c r="F69" s="82">
        <v>0.6</v>
      </c>
      <c r="G69" s="82">
        <f>Inventory_List_Table5[[#This Row],[سحب أيوب ]]*Inventory_List_Table5[[#This Row],[التكلفة]]</f>
        <v>7.1999999999999993</v>
      </c>
      <c r="H69" s="37"/>
    </row>
    <row r="70" spans="1:8" ht="24" customHeight="1" thickTop="1" thickBot="1" x14ac:dyDescent="0.35">
      <c r="A70" s="46">
        <v>67</v>
      </c>
      <c r="B70" s="87" t="s">
        <v>375</v>
      </c>
      <c r="C70" s="80" t="s">
        <v>62</v>
      </c>
      <c r="D70" s="65">
        <v>46219</v>
      </c>
      <c r="E70" s="81">
        <v>9</v>
      </c>
      <c r="F70" s="82">
        <v>5</v>
      </c>
      <c r="G70" s="82">
        <f>Inventory_List_Table5[[#This Row],[سحب أيوب ]]*Inventory_List_Table5[[#This Row],[التكلفة]]</f>
        <v>45</v>
      </c>
      <c r="H70" s="37"/>
    </row>
    <row r="71" spans="1:8" ht="24" customHeight="1" thickTop="1" thickBot="1" x14ac:dyDescent="0.35">
      <c r="A71" s="46">
        <v>68</v>
      </c>
      <c r="B71" s="79" t="s">
        <v>45</v>
      </c>
      <c r="C71" s="83" t="s">
        <v>62</v>
      </c>
      <c r="D71" s="64">
        <v>46219</v>
      </c>
      <c r="E71" s="84">
        <v>19</v>
      </c>
      <c r="F71" s="82">
        <v>2.25</v>
      </c>
      <c r="G71" s="82">
        <f>Inventory_List_Table5[[#This Row],[سحب أيوب ]]*Inventory_List_Table5[[#This Row],[التكلفة]]</f>
        <v>42.75</v>
      </c>
      <c r="H71" s="37"/>
    </row>
    <row r="72" spans="1:8" ht="24" customHeight="1" thickTop="1" thickBot="1" x14ac:dyDescent="0.35">
      <c r="A72" s="46">
        <v>69</v>
      </c>
      <c r="B72" s="79" t="s">
        <v>24</v>
      </c>
      <c r="C72" s="80" t="s">
        <v>62</v>
      </c>
      <c r="D72" s="65">
        <v>46219</v>
      </c>
      <c r="E72" s="81">
        <v>12</v>
      </c>
      <c r="F72" s="82">
        <v>2.15</v>
      </c>
      <c r="G72" s="82">
        <f>Inventory_List_Table5[[#This Row],[سحب أيوب ]]*Inventory_List_Table5[[#This Row],[التكلفة]]</f>
        <v>25.799999999999997</v>
      </c>
      <c r="H72" s="37"/>
    </row>
    <row r="73" spans="1:8" ht="24" customHeight="1" thickTop="1" thickBot="1" x14ac:dyDescent="0.35">
      <c r="A73" s="46">
        <v>70</v>
      </c>
      <c r="B73" s="79" t="s">
        <v>7</v>
      </c>
      <c r="C73" s="80" t="s">
        <v>62</v>
      </c>
      <c r="D73" s="65">
        <v>46219</v>
      </c>
      <c r="E73" s="81">
        <v>100</v>
      </c>
      <c r="F73" s="62">
        <v>0.35</v>
      </c>
      <c r="G73" s="62">
        <f>Inventory_List_Table5[[#This Row],[سحب أيوب ]]*Inventory_List_Table5[[#This Row],[التكلفة]]</f>
        <v>35</v>
      </c>
      <c r="H73" s="37"/>
    </row>
    <row r="74" spans="1:8" ht="24" customHeight="1" thickTop="1" thickBot="1" x14ac:dyDescent="0.35">
      <c r="A74" s="46">
        <v>71</v>
      </c>
      <c r="B74" s="79" t="s">
        <v>44</v>
      </c>
      <c r="C74" s="80" t="s">
        <v>62</v>
      </c>
      <c r="D74" s="65">
        <v>46219</v>
      </c>
      <c r="E74" s="81">
        <v>2</v>
      </c>
      <c r="F74" s="82">
        <v>1</v>
      </c>
      <c r="G74" s="82">
        <f>Inventory_List_Table5[[#This Row],[سحب أيوب ]]*Inventory_List_Table5[[#This Row],[التكلفة]]</f>
        <v>2</v>
      </c>
      <c r="H74" s="37"/>
    </row>
    <row r="75" spans="1:8" ht="24" customHeight="1" thickTop="1" thickBot="1" x14ac:dyDescent="0.35">
      <c r="A75" s="46">
        <v>72</v>
      </c>
      <c r="B75" s="79" t="s">
        <v>66</v>
      </c>
      <c r="C75" s="83" t="s">
        <v>62</v>
      </c>
      <c r="D75" s="64">
        <v>46219</v>
      </c>
      <c r="E75" s="84">
        <v>49</v>
      </c>
      <c r="F75" s="82">
        <v>0.42</v>
      </c>
      <c r="G75" s="82">
        <f>Inventory_List_Table5[[#This Row],[سحب أيوب ]]*Inventory_List_Table5[[#This Row],[التكلفة]]</f>
        <v>20.58</v>
      </c>
      <c r="H75" s="37"/>
    </row>
    <row r="76" spans="1:8" ht="24" customHeight="1" thickTop="1" thickBot="1" x14ac:dyDescent="0.35">
      <c r="A76" s="46">
        <v>73</v>
      </c>
      <c r="B76" s="79" t="s">
        <v>65</v>
      </c>
      <c r="C76" s="83" t="s">
        <v>62</v>
      </c>
      <c r="D76" s="64">
        <v>46219</v>
      </c>
      <c r="E76" s="84">
        <v>50</v>
      </c>
      <c r="F76" s="82">
        <v>0.34</v>
      </c>
      <c r="G76" s="82">
        <f>Inventory_List_Table5[[#This Row],[سحب أيوب ]]*Inventory_List_Table5[[#This Row],[التكلفة]]</f>
        <v>17</v>
      </c>
      <c r="H76" s="37"/>
    </row>
    <row r="77" spans="1:8" ht="24" customHeight="1" thickTop="1" thickBot="1" x14ac:dyDescent="0.35">
      <c r="A77" s="46">
        <v>74</v>
      </c>
      <c r="B77" s="79" t="s">
        <v>67</v>
      </c>
      <c r="C77" s="83" t="s">
        <v>62</v>
      </c>
      <c r="D77" s="64">
        <v>46219</v>
      </c>
      <c r="E77" s="84">
        <v>49</v>
      </c>
      <c r="F77" s="82">
        <v>0.5</v>
      </c>
      <c r="G77" s="82">
        <f>Inventory_List_Table5[[#This Row],[سحب أيوب ]]*Inventory_List_Table5[[#This Row],[التكلفة]]</f>
        <v>24.5</v>
      </c>
      <c r="H77" s="37"/>
    </row>
    <row r="78" spans="1:8" ht="24" customHeight="1" thickTop="1" thickBot="1" x14ac:dyDescent="0.35">
      <c r="A78" s="46">
        <v>75</v>
      </c>
      <c r="B78" s="79" t="s">
        <v>60</v>
      </c>
      <c r="C78" s="80" t="s">
        <v>62</v>
      </c>
      <c r="D78" s="65">
        <v>46219</v>
      </c>
      <c r="E78" s="81">
        <v>20</v>
      </c>
      <c r="F78" s="82">
        <v>0.73</v>
      </c>
      <c r="G78" s="82">
        <f>Inventory_List_Table5[[#This Row],[سحب أيوب ]]*Inventory_List_Table5[[#This Row],[التكلفة]]</f>
        <v>14.6</v>
      </c>
      <c r="H78" s="37"/>
    </row>
    <row r="79" spans="1:8" ht="24" customHeight="1" thickTop="1" thickBot="1" x14ac:dyDescent="0.35">
      <c r="A79" s="46">
        <v>76</v>
      </c>
      <c r="B79" s="79" t="s">
        <v>676</v>
      </c>
      <c r="C79" s="80" t="s">
        <v>62</v>
      </c>
      <c r="D79" s="65">
        <v>46219</v>
      </c>
      <c r="E79" s="81">
        <v>400</v>
      </c>
      <c r="F79" s="62">
        <v>7.0000000000000007E-2</v>
      </c>
      <c r="G79" s="62">
        <f>Inventory_List_Table5[[#This Row],[سحب أيوب ]]*Inventory_List_Table5[[#This Row],[التكلفة]]</f>
        <v>28.000000000000004</v>
      </c>
      <c r="H79" s="37"/>
    </row>
    <row r="80" spans="1:8" ht="24" customHeight="1" thickTop="1" thickBot="1" x14ac:dyDescent="0.35">
      <c r="A80" s="46">
        <v>77</v>
      </c>
      <c r="B80" s="79" t="s">
        <v>31</v>
      </c>
      <c r="C80" s="83" t="s">
        <v>62</v>
      </c>
      <c r="D80" s="64">
        <v>46219</v>
      </c>
      <c r="E80" s="84">
        <v>15</v>
      </c>
      <c r="F80" s="82">
        <v>2.6</v>
      </c>
      <c r="G80" s="82">
        <f>Inventory_List_Table5[[#This Row],[سحب أيوب ]]*Inventory_List_Table5[[#This Row],[التكلفة]]</f>
        <v>39</v>
      </c>
      <c r="H80" s="37"/>
    </row>
    <row r="81" spans="1:8" ht="24" customHeight="1" thickTop="1" thickBot="1" x14ac:dyDescent="0.35">
      <c r="A81" s="46">
        <v>78</v>
      </c>
      <c r="B81" s="79" t="s">
        <v>38</v>
      </c>
      <c r="C81" s="80" t="s">
        <v>62</v>
      </c>
      <c r="D81" s="65">
        <v>46219</v>
      </c>
      <c r="E81" s="81">
        <v>10</v>
      </c>
      <c r="F81" s="82">
        <v>4.25</v>
      </c>
      <c r="G81" s="82">
        <f>Inventory_List_Table5[[#This Row],[سحب أيوب ]]*Inventory_List_Table5[[#This Row],[التكلفة]]</f>
        <v>42.5</v>
      </c>
      <c r="H81" s="37"/>
    </row>
    <row r="82" spans="1:8" ht="24" customHeight="1" thickTop="1" thickBot="1" x14ac:dyDescent="0.35">
      <c r="A82" s="46">
        <v>79</v>
      </c>
      <c r="B82" s="79" t="s">
        <v>19</v>
      </c>
      <c r="C82" s="83" t="s">
        <v>62</v>
      </c>
      <c r="D82" s="64">
        <v>46219</v>
      </c>
      <c r="E82" s="84">
        <v>10</v>
      </c>
      <c r="F82" s="62">
        <v>1.1499999999999999</v>
      </c>
      <c r="G82" s="62">
        <f>Inventory_List_Table5[[#This Row],[سحب أيوب ]]*Inventory_List_Table5[[#This Row],[التكلفة]]</f>
        <v>11.5</v>
      </c>
      <c r="H82" s="37"/>
    </row>
    <row r="83" spans="1:8" ht="24" customHeight="1" thickTop="1" thickBot="1" x14ac:dyDescent="0.35">
      <c r="A83" s="46">
        <v>80</v>
      </c>
      <c r="B83" s="79" t="s">
        <v>16</v>
      </c>
      <c r="C83" s="83" t="s">
        <v>62</v>
      </c>
      <c r="D83" s="64">
        <v>46219</v>
      </c>
      <c r="E83" s="84">
        <v>20</v>
      </c>
      <c r="F83" s="62">
        <v>1.1040000000000001</v>
      </c>
      <c r="G83" s="62">
        <f>Inventory_List_Table5[[#This Row],[سحب أيوب ]]*Inventory_List_Table5[[#This Row],[التكلفة]]</f>
        <v>22.080000000000002</v>
      </c>
      <c r="H83" s="37"/>
    </row>
    <row r="84" spans="1:8" ht="24" customHeight="1" thickTop="1" thickBot="1" x14ac:dyDescent="0.35">
      <c r="A84" s="46"/>
      <c r="B84" s="79" t="s">
        <v>522</v>
      </c>
      <c r="C84" s="80" t="s">
        <v>62</v>
      </c>
      <c r="D84" s="65">
        <v>46219</v>
      </c>
      <c r="E84" s="81">
        <v>20</v>
      </c>
      <c r="F84" s="62">
        <v>1.1000000000000001</v>
      </c>
      <c r="G84" s="62">
        <f>Inventory_List_Table5[[#This Row],[سحب أيوب ]]*Inventory_List_Table5[[#This Row],[التكلفة]]</f>
        <v>22</v>
      </c>
      <c r="H84" s="37"/>
    </row>
    <row r="85" spans="1:8" ht="24" customHeight="1" thickTop="1" thickBot="1" x14ac:dyDescent="0.35">
      <c r="A85" s="46">
        <v>82</v>
      </c>
      <c r="B85" s="79" t="s">
        <v>41</v>
      </c>
      <c r="C85" s="83" t="s">
        <v>62</v>
      </c>
      <c r="D85" s="64">
        <v>46219</v>
      </c>
      <c r="E85" s="84">
        <v>50</v>
      </c>
      <c r="F85" s="82">
        <v>0.95</v>
      </c>
      <c r="G85" s="82">
        <f>Inventory_List_Table5[[#This Row],[سحب أيوب ]]*Inventory_List_Table5[[#This Row],[التكلفة]]</f>
        <v>47.5</v>
      </c>
      <c r="H85" s="37"/>
    </row>
    <row r="86" spans="1:8" ht="24" customHeight="1" thickTop="1" thickBot="1" x14ac:dyDescent="0.35">
      <c r="A86" s="46">
        <v>83</v>
      </c>
      <c r="B86" s="79" t="s">
        <v>70</v>
      </c>
      <c r="C86" s="83" t="s">
        <v>62</v>
      </c>
      <c r="D86" s="64">
        <v>46219</v>
      </c>
      <c r="E86" s="84">
        <v>100</v>
      </c>
      <c r="F86" s="82">
        <v>0.14000000000000001</v>
      </c>
      <c r="G86" s="82">
        <f>Inventory_List_Table5[[#This Row],[سحب أيوب ]]*Inventory_List_Table5[[#This Row],[التكلفة]]</f>
        <v>14.000000000000002</v>
      </c>
      <c r="H86" s="37"/>
    </row>
    <row r="87" spans="1:8" ht="24" customHeight="1" thickTop="1" thickBot="1" x14ac:dyDescent="0.35">
      <c r="A87" s="46">
        <v>84</v>
      </c>
      <c r="B87" s="79" t="s">
        <v>11</v>
      </c>
      <c r="C87" s="83" t="s">
        <v>62</v>
      </c>
      <c r="D87" s="64">
        <v>46219</v>
      </c>
      <c r="E87" s="84">
        <v>90</v>
      </c>
      <c r="F87" s="62">
        <v>0.28999999999999998</v>
      </c>
      <c r="G87" s="62">
        <f>Inventory_List_Table5[[#This Row],[سحب أيوب ]]*Inventory_List_Table5[[#This Row],[التكلفة]]</f>
        <v>26.099999999999998</v>
      </c>
      <c r="H87" s="37"/>
    </row>
    <row r="88" spans="1:8" ht="24" customHeight="1" thickTop="1" thickBot="1" x14ac:dyDescent="0.35">
      <c r="A88" s="46">
        <v>85</v>
      </c>
      <c r="B88" s="79" t="s">
        <v>523</v>
      </c>
      <c r="C88" s="80" t="s">
        <v>62</v>
      </c>
      <c r="D88" s="65">
        <v>46219</v>
      </c>
      <c r="E88" s="81">
        <v>13</v>
      </c>
      <c r="F88" s="62">
        <v>0.65</v>
      </c>
      <c r="G88" s="62">
        <f>Inventory_List_Table5[[#This Row],[سحب أيوب ]]*Inventory_List_Table5[[#This Row],[التكلفة]]</f>
        <v>8.4500000000000011</v>
      </c>
      <c r="H88" s="37"/>
    </row>
    <row r="89" spans="1:8" ht="24" customHeight="1" thickTop="1" thickBot="1" x14ac:dyDescent="0.35">
      <c r="A89" s="46">
        <v>86</v>
      </c>
      <c r="B89" s="79" t="s">
        <v>524</v>
      </c>
      <c r="C89" s="83" t="s">
        <v>62</v>
      </c>
      <c r="D89" s="64">
        <v>46219</v>
      </c>
      <c r="E89" s="84">
        <v>40</v>
      </c>
      <c r="F89" s="62">
        <v>0.25</v>
      </c>
      <c r="G89" s="62">
        <f>Inventory_List_Table5[[#This Row],[سحب أيوب ]]*Inventory_List_Table5[[#This Row],[التكلفة]]</f>
        <v>10</v>
      </c>
      <c r="H89" s="37"/>
    </row>
    <row r="90" spans="1:8" ht="24" customHeight="1" thickTop="1" thickBot="1" x14ac:dyDescent="0.35">
      <c r="A90" s="46">
        <v>87</v>
      </c>
      <c r="B90" s="79" t="s">
        <v>525</v>
      </c>
      <c r="C90" s="83" t="s">
        <v>62</v>
      </c>
      <c r="D90" s="64">
        <v>46219</v>
      </c>
      <c r="E90" s="84">
        <v>10</v>
      </c>
      <c r="F90" s="62">
        <v>5</v>
      </c>
      <c r="G90" s="62">
        <f>Inventory_List_Table5[[#This Row],[سحب أيوب ]]*Inventory_List_Table5[[#This Row],[التكلفة]]</f>
        <v>50</v>
      </c>
      <c r="H90" s="37"/>
    </row>
    <row r="91" spans="1:8" ht="24" customHeight="1" thickTop="1" thickBot="1" x14ac:dyDescent="0.35">
      <c r="A91" s="46">
        <v>88</v>
      </c>
      <c r="B91" s="79" t="s">
        <v>526</v>
      </c>
      <c r="C91" s="83" t="s">
        <v>62</v>
      </c>
      <c r="D91" s="64">
        <v>46219</v>
      </c>
      <c r="E91" s="84">
        <v>20</v>
      </c>
      <c r="F91" s="82">
        <v>2.5</v>
      </c>
      <c r="G91" s="62">
        <f>Inventory_List_Table5[[#This Row],[سحب أيوب ]]*Inventory_List_Table5[[#This Row],[التكلفة]]</f>
        <v>50</v>
      </c>
      <c r="H91" s="37"/>
    </row>
    <row r="92" spans="1:8" ht="24" customHeight="1" thickTop="1" thickBot="1" x14ac:dyDescent="0.35">
      <c r="A92" s="46">
        <v>89</v>
      </c>
      <c r="B92" s="79" t="s">
        <v>527</v>
      </c>
      <c r="C92" s="83" t="s">
        <v>62</v>
      </c>
      <c r="D92" s="64">
        <v>46219</v>
      </c>
      <c r="E92" s="84">
        <v>2</v>
      </c>
      <c r="F92" s="82">
        <v>3</v>
      </c>
      <c r="G92" s="62">
        <f>Inventory_List_Table5[[#This Row],[سحب أيوب ]]*Inventory_List_Table5[[#This Row],[التكلفة]]</f>
        <v>6</v>
      </c>
      <c r="H92" s="37"/>
    </row>
    <row r="93" spans="1:8" ht="24" customHeight="1" thickTop="1" thickBot="1" x14ac:dyDescent="0.35">
      <c r="A93" s="46">
        <v>90</v>
      </c>
      <c r="B93" s="79" t="s">
        <v>528</v>
      </c>
      <c r="C93" s="83" t="s">
        <v>62</v>
      </c>
      <c r="D93" s="64">
        <v>46219</v>
      </c>
      <c r="E93" s="84">
        <v>1</v>
      </c>
      <c r="F93" s="82">
        <v>26.5</v>
      </c>
      <c r="G93" s="62">
        <f>Inventory_List_Table5[[#This Row],[سحب أيوب ]]*Inventory_List_Table5[[#This Row],[التكلفة]]</f>
        <v>26.5</v>
      </c>
      <c r="H93" s="37"/>
    </row>
    <row r="94" spans="1:8" ht="24" customHeight="1" thickTop="1" thickBot="1" x14ac:dyDescent="0.35">
      <c r="A94" s="46">
        <v>91</v>
      </c>
      <c r="B94" s="79" t="s">
        <v>529</v>
      </c>
      <c r="C94" s="83" t="s">
        <v>62</v>
      </c>
      <c r="D94" s="64">
        <v>46219</v>
      </c>
      <c r="E94" s="84">
        <v>1</v>
      </c>
      <c r="F94" s="82">
        <v>20.5</v>
      </c>
      <c r="G94" s="62">
        <f>Inventory_List_Table5[[#This Row],[سحب أيوب ]]*Inventory_List_Table5[[#This Row],[التكلفة]]</f>
        <v>20.5</v>
      </c>
      <c r="H94" s="37"/>
    </row>
    <row r="95" spans="1:8" ht="24" customHeight="1" thickTop="1" thickBot="1" x14ac:dyDescent="0.35">
      <c r="A95" s="46">
        <v>92</v>
      </c>
      <c r="B95" s="79" t="s">
        <v>530</v>
      </c>
      <c r="C95" s="83" t="s">
        <v>62</v>
      </c>
      <c r="D95" s="64">
        <v>46219</v>
      </c>
      <c r="E95" s="84">
        <v>2</v>
      </c>
      <c r="F95" s="82">
        <v>45</v>
      </c>
      <c r="G95" s="62">
        <f>Inventory_List_Table5[[#This Row],[سحب أيوب ]]*Inventory_List_Table5[[#This Row],[التكلفة]]</f>
        <v>90</v>
      </c>
      <c r="H95" s="37"/>
    </row>
    <row r="96" spans="1:8" ht="24" customHeight="1" thickTop="1" thickBot="1" x14ac:dyDescent="0.35">
      <c r="A96" s="46">
        <v>93</v>
      </c>
      <c r="B96" s="79" t="s">
        <v>531</v>
      </c>
      <c r="C96" s="83" t="s">
        <v>62</v>
      </c>
      <c r="D96" s="64">
        <v>46219</v>
      </c>
      <c r="E96" s="84">
        <v>15</v>
      </c>
      <c r="F96" s="82">
        <v>0.5</v>
      </c>
      <c r="G96" s="62">
        <f>Inventory_List_Table5[[#This Row],[سحب أيوب ]]*Inventory_List_Table5[[#This Row],[التكلفة]]</f>
        <v>7.5</v>
      </c>
      <c r="H96" s="37"/>
    </row>
    <row r="97" spans="1:8" ht="24" customHeight="1" thickTop="1" thickBot="1" x14ac:dyDescent="0.35">
      <c r="A97" s="46">
        <v>94</v>
      </c>
      <c r="B97" s="79" t="s">
        <v>532</v>
      </c>
      <c r="C97" s="83" t="s">
        <v>62</v>
      </c>
      <c r="D97" s="64">
        <v>46219</v>
      </c>
      <c r="E97" s="84">
        <v>15</v>
      </c>
      <c r="F97" s="82">
        <v>0.9</v>
      </c>
      <c r="G97" s="62">
        <f>Inventory_List_Table5[[#This Row],[سحب أيوب ]]*Inventory_List_Table5[[#This Row],[التكلفة]]</f>
        <v>13.5</v>
      </c>
      <c r="H97" s="37"/>
    </row>
    <row r="98" spans="1:8" ht="24" customHeight="1" thickTop="1" thickBot="1" x14ac:dyDescent="0.35">
      <c r="A98" s="46">
        <v>95</v>
      </c>
      <c r="B98" s="79" t="s">
        <v>533</v>
      </c>
      <c r="C98" s="83" t="s">
        <v>62</v>
      </c>
      <c r="D98" s="64">
        <v>46219</v>
      </c>
      <c r="E98" s="84">
        <v>5</v>
      </c>
      <c r="F98" s="82">
        <v>0.9</v>
      </c>
      <c r="G98" s="62">
        <f>Inventory_List_Table5[[#This Row],[سحب أيوب ]]*Inventory_List_Table5[[#This Row],[التكلفة]]</f>
        <v>4.5</v>
      </c>
      <c r="H98" s="37"/>
    </row>
    <row r="99" spans="1:8" ht="24" customHeight="1" thickTop="1" thickBot="1" x14ac:dyDescent="0.35">
      <c r="A99" s="46">
        <v>96</v>
      </c>
      <c r="B99" s="79" t="s">
        <v>534</v>
      </c>
      <c r="C99" s="83" t="s">
        <v>62</v>
      </c>
      <c r="D99" s="64">
        <v>46219</v>
      </c>
      <c r="E99" s="84">
        <v>5</v>
      </c>
      <c r="F99" s="82">
        <v>0.9</v>
      </c>
      <c r="G99" s="62">
        <f>Inventory_List_Table5[[#This Row],[سحب أيوب ]]*Inventory_List_Table5[[#This Row],[التكلفة]]</f>
        <v>4.5</v>
      </c>
      <c r="H99" s="37"/>
    </row>
    <row r="100" spans="1:8" ht="24" customHeight="1" thickTop="1" thickBot="1" x14ac:dyDescent="0.35">
      <c r="A100" s="46">
        <v>97</v>
      </c>
      <c r="B100" s="79" t="s">
        <v>535</v>
      </c>
      <c r="C100" s="83" t="s">
        <v>62</v>
      </c>
      <c r="D100" s="64">
        <v>46219</v>
      </c>
      <c r="E100" s="84">
        <v>10</v>
      </c>
      <c r="F100" s="82">
        <v>1.25</v>
      </c>
      <c r="G100" s="62">
        <f>Inventory_List_Table5[[#This Row],[سحب أيوب ]]*Inventory_List_Table5[[#This Row],[التكلفة]]</f>
        <v>12.5</v>
      </c>
      <c r="H100" s="37"/>
    </row>
    <row r="101" spans="1:8" ht="24" customHeight="1" thickTop="1" thickBot="1" x14ac:dyDescent="0.35">
      <c r="A101" s="46">
        <v>98</v>
      </c>
      <c r="B101" s="79" t="s">
        <v>536</v>
      </c>
      <c r="C101" s="83" t="s">
        <v>62</v>
      </c>
      <c r="D101" s="64">
        <v>46219</v>
      </c>
      <c r="E101" s="84">
        <v>10</v>
      </c>
      <c r="F101" s="82">
        <v>0.18</v>
      </c>
      <c r="G101" s="62">
        <f>Inventory_List_Table5[[#This Row],[سحب أيوب ]]*Inventory_List_Table5[[#This Row],[التكلفة]]</f>
        <v>1.7999999999999998</v>
      </c>
      <c r="H101" s="37"/>
    </row>
    <row r="102" spans="1:8" ht="24" customHeight="1" thickTop="1" thickBot="1" x14ac:dyDescent="0.35">
      <c r="A102" s="46">
        <v>99</v>
      </c>
      <c r="B102" s="79" t="s">
        <v>537</v>
      </c>
      <c r="C102" s="83" t="s">
        <v>62</v>
      </c>
      <c r="D102" s="64">
        <v>46219</v>
      </c>
      <c r="E102" s="84">
        <v>10</v>
      </c>
      <c r="F102" s="82">
        <v>0.3</v>
      </c>
      <c r="G102" s="62">
        <f>Inventory_List_Table5[[#This Row],[سحب أيوب ]]*Inventory_List_Table5[[#This Row],[التكلفة]]</f>
        <v>3</v>
      </c>
      <c r="H102" s="37"/>
    </row>
    <row r="103" spans="1:8" ht="24" customHeight="1" thickTop="1" thickBot="1" x14ac:dyDescent="0.35">
      <c r="A103" s="46">
        <v>100</v>
      </c>
      <c r="B103" s="79" t="s">
        <v>538</v>
      </c>
      <c r="C103" s="83" t="s">
        <v>62</v>
      </c>
      <c r="D103" s="64">
        <v>46219</v>
      </c>
      <c r="E103" s="84">
        <v>120</v>
      </c>
      <c r="F103" s="82">
        <v>0.12</v>
      </c>
      <c r="G103" s="62">
        <f>Inventory_List_Table5[[#This Row],[سحب أيوب ]]*Inventory_List_Table5[[#This Row],[التكلفة]]</f>
        <v>14.399999999999999</v>
      </c>
      <c r="H103" s="37"/>
    </row>
    <row r="104" spans="1:8" ht="24" customHeight="1" thickTop="1" thickBot="1" x14ac:dyDescent="0.35">
      <c r="A104" s="46">
        <v>101</v>
      </c>
      <c r="B104" s="79" t="s">
        <v>539</v>
      </c>
      <c r="C104" s="83" t="s">
        <v>62</v>
      </c>
      <c r="D104" s="64">
        <v>46219</v>
      </c>
      <c r="E104" s="84">
        <v>80</v>
      </c>
      <c r="F104" s="82">
        <v>2</v>
      </c>
      <c r="G104" s="62">
        <f>Inventory_List_Table5[[#This Row],[سحب أيوب ]]*Inventory_List_Table5[[#This Row],[التكلفة]]</f>
        <v>160</v>
      </c>
      <c r="H104" s="37"/>
    </row>
    <row r="105" spans="1:8" ht="24" customHeight="1" thickTop="1" thickBot="1" x14ac:dyDescent="0.35">
      <c r="A105" s="46">
        <v>102</v>
      </c>
      <c r="B105" s="88" t="s">
        <v>540</v>
      </c>
      <c r="C105" s="83" t="s">
        <v>62</v>
      </c>
      <c r="D105" s="64">
        <v>46219</v>
      </c>
      <c r="E105" s="84">
        <v>50</v>
      </c>
      <c r="F105" s="82">
        <v>0.4</v>
      </c>
      <c r="G105" s="62">
        <f>Inventory_List_Table5[[#This Row],[سحب أيوب ]]*Inventory_List_Table5[[#This Row],[التكلفة]]</f>
        <v>20</v>
      </c>
      <c r="H105" s="37"/>
    </row>
    <row r="106" spans="1:8" ht="24" customHeight="1" thickTop="1" thickBot="1" x14ac:dyDescent="0.35">
      <c r="A106" s="46">
        <v>103</v>
      </c>
      <c r="B106" s="79" t="s">
        <v>541</v>
      </c>
      <c r="C106" s="83" t="s">
        <v>62</v>
      </c>
      <c r="D106" s="64">
        <v>46219</v>
      </c>
      <c r="E106" s="84">
        <v>6</v>
      </c>
      <c r="F106" s="82">
        <v>2.75</v>
      </c>
      <c r="G106" s="62">
        <f>Inventory_List_Table5[[#This Row],[سحب أيوب ]]*Inventory_List_Table5[[#This Row],[التكلفة]]</f>
        <v>16.5</v>
      </c>
      <c r="H106" s="37"/>
    </row>
    <row r="107" spans="1:8" ht="24" customHeight="1" thickTop="1" thickBot="1" x14ac:dyDescent="0.35">
      <c r="A107" s="46">
        <v>104</v>
      </c>
      <c r="B107" s="79" t="s">
        <v>542</v>
      </c>
      <c r="C107" s="83" t="s">
        <v>62</v>
      </c>
      <c r="D107" s="64">
        <v>46219</v>
      </c>
      <c r="E107" s="84">
        <v>60</v>
      </c>
      <c r="F107" s="82">
        <v>0.9</v>
      </c>
      <c r="G107" s="62">
        <f>Inventory_List_Table5[[#This Row],[سحب أيوب ]]*Inventory_List_Table5[[#This Row],[التكلفة]]</f>
        <v>54</v>
      </c>
      <c r="H107" s="37"/>
    </row>
    <row r="108" spans="1:8" ht="24" customHeight="1" thickTop="1" thickBot="1" x14ac:dyDescent="0.35">
      <c r="A108" s="46">
        <v>105</v>
      </c>
      <c r="B108" s="79" t="s">
        <v>543</v>
      </c>
      <c r="C108" s="83" t="s">
        <v>62</v>
      </c>
      <c r="D108" s="64">
        <v>46219</v>
      </c>
      <c r="E108" s="84">
        <v>9</v>
      </c>
      <c r="F108" s="82">
        <v>2</v>
      </c>
      <c r="G108" s="62">
        <f>Inventory_List_Table5[[#This Row],[سحب أيوب ]]*Inventory_List_Table5[[#This Row],[التكلفة]]</f>
        <v>18</v>
      </c>
      <c r="H108" s="37"/>
    </row>
    <row r="109" spans="1:8" ht="24" customHeight="1" thickTop="1" thickBot="1" x14ac:dyDescent="0.35">
      <c r="A109" s="46">
        <v>106</v>
      </c>
      <c r="B109" s="79" t="s">
        <v>544</v>
      </c>
      <c r="C109" s="83" t="s">
        <v>62</v>
      </c>
      <c r="D109" s="64">
        <v>46219</v>
      </c>
      <c r="E109" s="84">
        <v>2</v>
      </c>
      <c r="F109" s="82">
        <v>14</v>
      </c>
      <c r="G109" s="62">
        <f>Inventory_List_Table5[[#This Row],[سحب أيوب ]]*Inventory_List_Table5[[#This Row],[التكلفة]]</f>
        <v>28</v>
      </c>
      <c r="H109" s="37"/>
    </row>
    <row r="110" spans="1:8" ht="24" customHeight="1" thickTop="1" thickBot="1" x14ac:dyDescent="0.35">
      <c r="A110" s="46">
        <v>107</v>
      </c>
      <c r="B110" s="79" t="s">
        <v>545</v>
      </c>
      <c r="C110" s="83" t="s">
        <v>62</v>
      </c>
      <c r="D110" s="64">
        <v>46219</v>
      </c>
      <c r="E110" s="84">
        <v>5</v>
      </c>
      <c r="F110" s="82">
        <v>6.5</v>
      </c>
      <c r="G110" s="62">
        <f>Inventory_List_Table5[[#This Row],[سحب أيوب ]]*Inventory_List_Table5[[#This Row],[التكلفة]]</f>
        <v>32.5</v>
      </c>
      <c r="H110" s="37"/>
    </row>
    <row r="111" spans="1:8" ht="24" customHeight="1" thickTop="1" thickBot="1" x14ac:dyDescent="0.35">
      <c r="A111" s="46">
        <v>108</v>
      </c>
      <c r="B111" s="79" t="s">
        <v>546</v>
      </c>
      <c r="C111" s="83" t="s">
        <v>62</v>
      </c>
      <c r="D111" s="64">
        <v>46219</v>
      </c>
      <c r="E111" s="84">
        <v>3</v>
      </c>
      <c r="F111" s="82">
        <v>6.5</v>
      </c>
      <c r="G111" s="62">
        <f>Inventory_List_Table5[[#This Row],[سحب أيوب ]]*Inventory_List_Table5[[#This Row],[التكلفة]]</f>
        <v>19.5</v>
      </c>
      <c r="H111" s="37"/>
    </row>
    <row r="112" spans="1:8" ht="24" customHeight="1" thickTop="1" thickBot="1" x14ac:dyDescent="0.35">
      <c r="A112" s="46">
        <v>109</v>
      </c>
      <c r="B112" s="79" t="s">
        <v>547</v>
      </c>
      <c r="C112" s="83" t="s">
        <v>62</v>
      </c>
      <c r="D112" s="64">
        <v>46219</v>
      </c>
      <c r="E112" s="84">
        <v>5</v>
      </c>
      <c r="F112" s="82">
        <v>1.1000000000000001</v>
      </c>
      <c r="G112" s="62">
        <f>Inventory_List_Table5[[#This Row],[سحب أيوب ]]*Inventory_List_Table5[[#This Row],[التكلفة]]</f>
        <v>5.5</v>
      </c>
      <c r="H112" s="37"/>
    </row>
    <row r="113" spans="1:8" ht="24" customHeight="1" thickTop="1" thickBot="1" x14ac:dyDescent="0.35">
      <c r="A113" s="46">
        <v>110</v>
      </c>
      <c r="B113" s="79" t="s">
        <v>548</v>
      </c>
      <c r="C113" s="83" t="s">
        <v>62</v>
      </c>
      <c r="D113" s="64">
        <v>46219</v>
      </c>
      <c r="E113" s="84">
        <v>5</v>
      </c>
      <c r="F113" s="82">
        <v>2.5</v>
      </c>
      <c r="G113" s="62">
        <f>Inventory_List_Table5[[#This Row],[سحب أيوب ]]*Inventory_List_Table5[[#This Row],[التكلفة]]</f>
        <v>12.5</v>
      </c>
      <c r="H113" s="37"/>
    </row>
    <row r="114" spans="1:8" ht="24" customHeight="1" thickTop="1" thickBot="1" x14ac:dyDescent="0.35">
      <c r="A114" s="46">
        <v>111</v>
      </c>
      <c r="B114" s="79" t="s">
        <v>549</v>
      </c>
      <c r="C114" s="83" t="s">
        <v>62</v>
      </c>
      <c r="D114" s="64">
        <v>46219</v>
      </c>
      <c r="E114" s="84">
        <v>3</v>
      </c>
      <c r="F114" s="82">
        <v>8.5</v>
      </c>
      <c r="G114" s="62">
        <f>Inventory_List_Table5[[#This Row],[سحب أيوب ]]*Inventory_List_Table5[[#This Row],[التكلفة]]</f>
        <v>25.5</v>
      </c>
      <c r="H114" s="37"/>
    </row>
    <row r="115" spans="1:8" ht="24" customHeight="1" thickTop="1" thickBot="1" x14ac:dyDescent="0.35">
      <c r="A115" s="46">
        <v>112</v>
      </c>
      <c r="B115" s="79" t="s">
        <v>550</v>
      </c>
      <c r="C115" s="83" t="s">
        <v>62</v>
      </c>
      <c r="D115" s="64">
        <v>46219</v>
      </c>
      <c r="E115" s="84">
        <v>3</v>
      </c>
      <c r="F115" s="82">
        <v>13.5</v>
      </c>
      <c r="G115" s="62">
        <f>Inventory_List_Table5[[#This Row],[سحب أيوب ]]*Inventory_List_Table5[[#This Row],[التكلفة]]</f>
        <v>40.5</v>
      </c>
      <c r="H115" s="37"/>
    </row>
    <row r="116" spans="1:8" ht="24" customHeight="1" thickTop="1" thickBot="1" x14ac:dyDescent="0.35">
      <c r="A116" s="46">
        <v>113</v>
      </c>
      <c r="B116" s="79" t="s">
        <v>551</v>
      </c>
      <c r="C116" s="83" t="s">
        <v>62</v>
      </c>
      <c r="D116" s="64">
        <v>46219</v>
      </c>
      <c r="E116" s="84">
        <v>15</v>
      </c>
      <c r="F116" s="82">
        <v>0.95</v>
      </c>
      <c r="G116" s="62">
        <f>Inventory_List_Table5[[#This Row],[سحب أيوب ]]*Inventory_List_Table5[[#This Row],[التكلفة]]</f>
        <v>14.25</v>
      </c>
      <c r="H116" s="37"/>
    </row>
    <row r="117" spans="1:8" ht="24" customHeight="1" thickTop="1" thickBot="1" x14ac:dyDescent="0.35">
      <c r="A117" s="46">
        <v>114</v>
      </c>
      <c r="B117" s="79" t="s">
        <v>552</v>
      </c>
      <c r="C117" s="83" t="s">
        <v>62</v>
      </c>
      <c r="D117" s="64">
        <v>46219</v>
      </c>
      <c r="E117" s="84">
        <v>5</v>
      </c>
      <c r="F117" s="82">
        <v>1</v>
      </c>
      <c r="G117" s="62">
        <f>Inventory_List_Table5[[#This Row],[سحب أيوب ]]*Inventory_List_Table5[[#This Row],[التكلفة]]</f>
        <v>5</v>
      </c>
      <c r="H117" s="37"/>
    </row>
    <row r="118" spans="1:8" ht="24" customHeight="1" thickTop="1" thickBot="1" x14ac:dyDescent="0.35">
      <c r="A118" s="46">
        <v>115</v>
      </c>
      <c r="B118" s="79" t="s">
        <v>553</v>
      </c>
      <c r="C118" s="83" t="s">
        <v>62</v>
      </c>
      <c r="D118" s="64">
        <v>46219</v>
      </c>
      <c r="E118" s="84">
        <v>4</v>
      </c>
      <c r="F118" s="82">
        <v>2.5</v>
      </c>
      <c r="G118" s="62">
        <f>Inventory_List_Table5[[#This Row],[سحب أيوب ]]*Inventory_List_Table5[[#This Row],[التكلفة]]</f>
        <v>10</v>
      </c>
      <c r="H118" s="37"/>
    </row>
    <row r="119" spans="1:8" ht="24" customHeight="1" thickTop="1" thickBot="1" x14ac:dyDescent="0.35">
      <c r="A119" s="46">
        <v>116</v>
      </c>
      <c r="B119" s="79" t="s">
        <v>554</v>
      </c>
      <c r="C119" s="83" t="s">
        <v>62</v>
      </c>
      <c r="D119" s="64">
        <v>46219</v>
      </c>
      <c r="E119" s="84">
        <v>6</v>
      </c>
      <c r="F119" s="82">
        <v>1.6</v>
      </c>
      <c r="G119" s="62">
        <f>Inventory_List_Table5[[#This Row],[سحب أيوب ]]*Inventory_List_Table5[[#This Row],[التكلفة]]</f>
        <v>9.6000000000000014</v>
      </c>
      <c r="H119" s="37"/>
    </row>
    <row r="120" spans="1:8" ht="24" customHeight="1" thickTop="1" thickBot="1" x14ac:dyDescent="0.35">
      <c r="A120" s="46">
        <v>117</v>
      </c>
      <c r="B120" s="79" t="s">
        <v>555</v>
      </c>
      <c r="C120" s="83" t="s">
        <v>62</v>
      </c>
      <c r="D120" s="64">
        <v>46219</v>
      </c>
      <c r="E120" s="84">
        <v>6</v>
      </c>
      <c r="F120" s="82">
        <v>1.8</v>
      </c>
      <c r="G120" s="62">
        <f>Inventory_List_Table5[[#This Row],[سحب أيوب ]]*Inventory_List_Table5[[#This Row],[التكلفة]]</f>
        <v>10.8</v>
      </c>
      <c r="H120" s="37"/>
    </row>
    <row r="121" spans="1:8" ht="24" customHeight="1" thickTop="1" thickBot="1" x14ac:dyDescent="0.35">
      <c r="A121" s="46">
        <v>118</v>
      </c>
      <c r="B121" s="79" t="s">
        <v>556</v>
      </c>
      <c r="C121" s="83" t="s">
        <v>62</v>
      </c>
      <c r="D121" s="64">
        <v>46219</v>
      </c>
      <c r="E121" s="84">
        <v>6</v>
      </c>
      <c r="F121" s="82">
        <v>3</v>
      </c>
      <c r="G121" s="62">
        <f>Inventory_List_Table5[[#This Row],[سحب أيوب ]]*Inventory_List_Table5[[#This Row],[التكلفة]]</f>
        <v>18</v>
      </c>
      <c r="H121" s="37"/>
    </row>
    <row r="122" spans="1:8" ht="24" customHeight="1" thickTop="1" thickBot="1" x14ac:dyDescent="0.35">
      <c r="A122" s="46">
        <v>119</v>
      </c>
      <c r="B122" s="79" t="s">
        <v>557</v>
      </c>
      <c r="C122" s="83" t="s">
        <v>62</v>
      </c>
      <c r="D122" s="64">
        <v>46219</v>
      </c>
      <c r="E122" s="84">
        <v>4</v>
      </c>
      <c r="F122" s="82">
        <v>1.55</v>
      </c>
      <c r="G122" s="62">
        <f>Inventory_List_Table5[[#This Row],[سحب أيوب ]]*Inventory_List_Table5[[#This Row],[التكلفة]]</f>
        <v>6.2</v>
      </c>
      <c r="H122" s="37"/>
    </row>
    <row r="123" spans="1:8" ht="24" customHeight="1" thickTop="1" thickBot="1" x14ac:dyDescent="0.35">
      <c r="A123" s="46">
        <v>120</v>
      </c>
      <c r="B123" s="79" t="s">
        <v>558</v>
      </c>
      <c r="C123" s="83" t="s">
        <v>62</v>
      </c>
      <c r="D123" s="64">
        <v>46219</v>
      </c>
      <c r="E123" s="84">
        <v>5</v>
      </c>
      <c r="F123" s="82">
        <v>1.4</v>
      </c>
      <c r="G123" s="62">
        <f>Inventory_List_Table5[[#This Row],[سحب أيوب ]]*Inventory_List_Table5[[#This Row],[التكلفة]]</f>
        <v>7</v>
      </c>
      <c r="H123" s="37"/>
    </row>
    <row r="124" spans="1:8" ht="24" customHeight="1" thickTop="1" thickBot="1" x14ac:dyDescent="0.35">
      <c r="A124" s="46">
        <v>121</v>
      </c>
      <c r="B124" s="79" t="s">
        <v>559</v>
      </c>
      <c r="C124" s="83" t="s">
        <v>62</v>
      </c>
      <c r="D124" s="64">
        <v>46219</v>
      </c>
      <c r="E124" s="84">
        <v>5</v>
      </c>
      <c r="F124" s="82">
        <v>2</v>
      </c>
      <c r="G124" s="62">
        <f>Inventory_List_Table5[[#This Row],[سحب أيوب ]]*Inventory_List_Table5[[#This Row],[التكلفة]]</f>
        <v>10</v>
      </c>
      <c r="H124" s="37"/>
    </row>
    <row r="125" spans="1:8" ht="24" customHeight="1" thickTop="1" thickBot="1" x14ac:dyDescent="0.35">
      <c r="A125" s="46">
        <v>122</v>
      </c>
      <c r="B125" s="79" t="s">
        <v>560</v>
      </c>
      <c r="C125" s="83" t="s">
        <v>62</v>
      </c>
      <c r="D125" s="64">
        <v>46219</v>
      </c>
      <c r="E125" s="84">
        <v>10</v>
      </c>
      <c r="F125" s="82">
        <v>1.5</v>
      </c>
      <c r="G125" s="62">
        <f>Inventory_List_Table5[[#This Row],[سحب أيوب ]]*Inventory_List_Table5[[#This Row],[التكلفة]]</f>
        <v>15</v>
      </c>
      <c r="H125" s="37"/>
    </row>
    <row r="126" spans="1:8" ht="24" customHeight="1" thickTop="1" thickBot="1" x14ac:dyDescent="0.35">
      <c r="A126" s="46">
        <v>123</v>
      </c>
      <c r="B126" s="79" t="s">
        <v>561</v>
      </c>
      <c r="C126" s="83" t="s">
        <v>62</v>
      </c>
      <c r="D126" s="64">
        <v>46219</v>
      </c>
      <c r="E126" s="84">
        <v>10</v>
      </c>
      <c r="F126" s="82">
        <v>1.8</v>
      </c>
      <c r="G126" s="62">
        <f>Inventory_List_Table5[[#This Row],[سحب أيوب ]]*Inventory_List_Table5[[#This Row],[التكلفة]]</f>
        <v>18</v>
      </c>
      <c r="H126" s="37"/>
    </row>
    <row r="127" spans="1:8" ht="24" customHeight="1" thickTop="1" thickBot="1" x14ac:dyDescent="0.35">
      <c r="A127" s="46">
        <v>124</v>
      </c>
      <c r="B127" s="79" t="s">
        <v>562</v>
      </c>
      <c r="C127" s="83" t="s">
        <v>62</v>
      </c>
      <c r="D127" s="64">
        <v>46219</v>
      </c>
      <c r="E127" s="84">
        <v>10</v>
      </c>
      <c r="F127" s="82">
        <v>1.1000000000000001</v>
      </c>
      <c r="G127" s="62">
        <f>Inventory_List_Table5[[#This Row],[سحب أيوب ]]*Inventory_List_Table5[[#This Row],[التكلفة]]</f>
        <v>11</v>
      </c>
      <c r="H127" s="37"/>
    </row>
    <row r="128" spans="1:8" ht="24" customHeight="1" thickTop="1" thickBot="1" x14ac:dyDescent="0.35">
      <c r="A128" s="46">
        <v>125</v>
      </c>
      <c r="B128" s="79" t="s">
        <v>563</v>
      </c>
      <c r="C128" s="83" t="s">
        <v>62</v>
      </c>
      <c r="D128" s="64">
        <v>46219</v>
      </c>
      <c r="E128" s="84">
        <v>10</v>
      </c>
      <c r="F128" s="82">
        <v>1.5</v>
      </c>
      <c r="G128" s="62">
        <f>Inventory_List_Table5[[#This Row],[سحب أيوب ]]*Inventory_List_Table5[[#This Row],[التكلفة]]</f>
        <v>15</v>
      </c>
      <c r="H128" s="37"/>
    </row>
    <row r="129" spans="1:8" ht="24" customHeight="1" thickTop="1" thickBot="1" x14ac:dyDescent="0.35">
      <c r="A129" s="46">
        <v>126</v>
      </c>
      <c r="B129" s="79" t="s">
        <v>564</v>
      </c>
      <c r="C129" s="83" t="s">
        <v>62</v>
      </c>
      <c r="D129" s="64">
        <v>46219</v>
      </c>
      <c r="E129" s="84">
        <v>3</v>
      </c>
      <c r="F129" s="82">
        <v>6</v>
      </c>
      <c r="G129" s="62">
        <f>Inventory_List_Table5[[#This Row],[سحب أيوب ]]*Inventory_List_Table5[[#This Row],[التكلفة]]</f>
        <v>18</v>
      </c>
      <c r="H129" s="37"/>
    </row>
    <row r="130" spans="1:8" ht="24" customHeight="1" thickTop="1" thickBot="1" x14ac:dyDescent="0.35">
      <c r="A130" s="46">
        <v>127</v>
      </c>
      <c r="B130" s="79" t="s">
        <v>565</v>
      </c>
      <c r="C130" s="83" t="s">
        <v>62</v>
      </c>
      <c r="D130" s="64">
        <v>46219</v>
      </c>
      <c r="E130" s="84">
        <v>3</v>
      </c>
      <c r="F130" s="82">
        <v>9</v>
      </c>
      <c r="G130" s="62">
        <f>Inventory_List_Table5[[#This Row],[سحب أيوب ]]*Inventory_List_Table5[[#This Row],[التكلفة]]</f>
        <v>27</v>
      </c>
      <c r="H130" s="37"/>
    </row>
    <row r="131" spans="1:8" ht="24" customHeight="1" thickTop="1" thickBot="1" x14ac:dyDescent="0.35">
      <c r="A131" s="46">
        <v>128</v>
      </c>
      <c r="B131" s="79" t="s">
        <v>566</v>
      </c>
      <c r="C131" s="83" t="s">
        <v>62</v>
      </c>
      <c r="D131" s="64">
        <v>46219</v>
      </c>
      <c r="E131" s="84">
        <v>2</v>
      </c>
      <c r="F131" s="82">
        <v>14</v>
      </c>
      <c r="G131" s="62">
        <f>Inventory_List_Table5[[#This Row],[سحب أيوب ]]*Inventory_List_Table5[[#This Row],[التكلفة]]</f>
        <v>28</v>
      </c>
      <c r="H131" s="37"/>
    </row>
    <row r="132" spans="1:8" ht="24" customHeight="1" thickTop="1" thickBot="1" x14ac:dyDescent="0.35">
      <c r="A132" s="46">
        <v>129</v>
      </c>
      <c r="B132" s="79" t="s">
        <v>567</v>
      </c>
      <c r="C132" s="83" t="s">
        <v>62</v>
      </c>
      <c r="D132" s="64">
        <v>46219</v>
      </c>
      <c r="E132" s="84">
        <v>2</v>
      </c>
      <c r="F132" s="82">
        <v>8</v>
      </c>
      <c r="G132" s="62">
        <f>Inventory_List_Table5[[#This Row],[سحب أيوب ]]*Inventory_List_Table5[[#This Row],[التكلفة]]</f>
        <v>16</v>
      </c>
      <c r="H132" s="37"/>
    </row>
    <row r="133" spans="1:8" ht="24" customHeight="1" thickTop="1" thickBot="1" x14ac:dyDescent="0.35">
      <c r="A133" s="46">
        <v>130</v>
      </c>
      <c r="B133" s="79" t="s">
        <v>568</v>
      </c>
      <c r="C133" s="83" t="s">
        <v>62</v>
      </c>
      <c r="D133" s="64">
        <v>46219</v>
      </c>
      <c r="E133" s="84">
        <v>1</v>
      </c>
      <c r="F133" s="82">
        <v>20</v>
      </c>
      <c r="G133" s="62">
        <f>Inventory_List_Table5[[#This Row],[سحب أيوب ]]*Inventory_List_Table5[[#This Row],[التكلفة]]</f>
        <v>20</v>
      </c>
      <c r="H133" s="37"/>
    </row>
    <row r="134" spans="1:8" ht="24" customHeight="1" thickTop="1" thickBot="1" x14ac:dyDescent="0.35">
      <c r="A134" s="46">
        <v>131</v>
      </c>
      <c r="B134" s="79" t="s">
        <v>569</v>
      </c>
      <c r="C134" s="83" t="s">
        <v>62</v>
      </c>
      <c r="D134" s="64">
        <v>46219</v>
      </c>
      <c r="E134" s="84">
        <v>24</v>
      </c>
      <c r="F134" s="82"/>
      <c r="G134" s="62">
        <f>Inventory_List_Table5[[#This Row],[سحب أيوب ]]*Inventory_List_Table5[[#This Row],[التكلفة]]</f>
        <v>0</v>
      </c>
      <c r="H134" s="37"/>
    </row>
    <row r="135" spans="1:8" ht="24" customHeight="1" thickTop="1" thickBot="1" x14ac:dyDescent="0.35">
      <c r="A135" s="46">
        <v>132</v>
      </c>
      <c r="B135" s="79" t="s">
        <v>570</v>
      </c>
      <c r="C135" s="83" t="s">
        <v>62</v>
      </c>
      <c r="D135" s="64">
        <v>46219</v>
      </c>
      <c r="E135" s="84">
        <v>48</v>
      </c>
      <c r="F135" s="82">
        <v>0.45</v>
      </c>
      <c r="G135" s="62">
        <f>Inventory_List_Table5[[#This Row],[سحب أيوب ]]*Inventory_List_Table5[[#This Row],[التكلفة]]</f>
        <v>21.6</v>
      </c>
      <c r="H135" s="37"/>
    </row>
    <row r="136" spans="1:8" ht="24" customHeight="1" thickTop="1" thickBot="1" x14ac:dyDescent="0.35">
      <c r="A136" s="46">
        <v>133</v>
      </c>
      <c r="B136" s="79" t="s">
        <v>571</v>
      </c>
      <c r="C136" s="83" t="s">
        <v>62</v>
      </c>
      <c r="D136" s="64">
        <v>46219</v>
      </c>
      <c r="E136" s="84">
        <v>12</v>
      </c>
      <c r="F136" s="82">
        <v>0.6</v>
      </c>
      <c r="G136" s="62">
        <f>Inventory_List_Table5[[#This Row],[سحب أيوب ]]*Inventory_List_Table5[[#This Row],[التكلفة]]</f>
        <v>7.1999999999999993</v>
      </c>
      <c r="H136" s="37"/>
    </row>
    <row r="137" spans="1:8" ht="24" customHeight="1" thickTop="1" thickBot="1" x14ac:dyDescent="0.35">
      <c r="A137" s="46">
        <v>134</v>
      </c>
      <c r="B137" s="79" t="s">
        <v>572</v>
      </c>
      <c r="C137" s="83" t="s">
        <v>62</v>
      </c>
      <c r="D137" s="64">
        <v>46219</v>
      </c>
      <c r="E137" s="84">
        <v>20</v>
      </c>
      <c r="F137" s="82">
        <v>0.5</v>
      </c>
      <c r="G137" s="62">
        <f>Inventory_List_Table5[[#This Row],[سحب أيوب ]]*Inventory_List_Table5[[#This Row],[التكلفة]]</f>
        <v>10</v>
      </c>
      <c r="H137" s="37"/>
    </row>
    <row r="138" spans="1:8" ht="24" customHeight="1" thickTop="1" thickBot="1" x14ac:dyDescent="0.35">
      <c r="A138" s="46">
        <v>135</v>
      </c>
      <c r="B138" s="79" t="s">
        <v>573</v>
      </c>
      <c r="C138" s="83" t="s">
        <v>62</v>
      </c>
      <c r="D138" s="64">
        <v>46219</v>
      </c>
      <c r="E138" s="84">
        <v>5</v>
      </c>
      <c r="F138" s="82">
        <v>3.25</v>
      </c>
      <c r="G138" s="62">
        <f>Inventory_List_Table5[[#This Row],[سحب أيوب ]]*Inventory_List_Table5[[#This Row],[التكلفة]]</f>
        <v>16.25</v>
      </c>
      <c r="H138" s="37"/>
    </row>
    <row r="139" spans="1:8" ht="24" customHeight="1" thickTop="1" thickBot="1" x14ac:dyDescent="0.35">
      <c r="A139" s="46">
        <v>136</v>
      </c>
      <c r="B139" s="79" t="s">
        <v>574</v>
      </c>
      <c r="C139" s="83" t="s">
        <v>62</v>
      </c>
      <c r="D139" s="64">
        <v>46219</v>
      </c>
      <c r="E139" s="84">
        <v>5</v>
      </c>
      <c r="F139" s="82">
        <v>3.25</v>
      </c>
      <c r="G139" s="62">
        <f>Inventory_List_Table5[[#This Row],[سحب أيوب ]]*Inventory_List_Table5[[#This Row],[التكلفة]]</f>
        <v>16.25</v>
      </c>
      <c r="H139" s="37"/>
    </row>
    <row r="140" spans="1:8" ht="24" customHeight="1" thickTop="1" thickBot="1" x14ac:dyDescent="0.35">
      <c r="A140" s="46">
        <v>137</v>
      </c>
      <c r="B140" s="79" t="s">
        <v>575</v>
      </c>
      <c r="C140" s="83" t="s">
        <v>62</v>
      </c>
      <c r="D140" s="64">
        <v>46219</v>
      </c>
      <c r="E140" s="84">
        <v>30</v>
      </c>
      <c r="F140" s="82">
        <v>1.5</v>
      </c>
      <c r="G140" s="62">
        <f>Inventory_List_Table5[[#This Row],[سحب أيوب ]]*Inventory_List_Table5[[#This Row],[التكلفة]]</f>
        <v>45</v>
      </c>
      <c r="H140" s="37"/>
    </row>
    <row r="141" spans="1:8" ht="24" customHeight="1" thickTop="1" thickBot="1" x14ac:dyDescent="0.35">
      <c r="A141" s="46">
        <v>138</v>
      </c>
      <c r="B141" s="79" t="s">
        <v>576</v>
      </c>
      <c r="C141" s="83" t="s">
        <v>62</v>
      </c>
      <c r="D141" s="64">
        <v>46219</v>
      </c>
      <c r="E141" s="84">
        <v>6</v>
      </c>
      <c r="F141" s="82">
        <v>2.25</v>
      </c>
      <c r="G141" s="62">
        <f>Inventory_List_Table5[[#This Row],[سحب أيوب ]]*Inventory_List_Table5[[#This Row],[التكلفة]]</f>
        <v>13.5</v>
      </c>
      <c r="H141" s="37"/>
    </row>
    <row r="142" spans="1:8" ht="24" customHeight="1" thickTop="1" thickBot="1" x14ac:dyDescent="0.35">
      <c r="A142" s="46">
        <v>139</v>
      </c>
      <c r="B142" s="79" t="s">
        <v>577</v>
      </c>
      <c r="C142" s="83" t="s">
        <v>62</v>
      </c>
      <c r="D142" s="64">
        <v>46219</v>
      </c>
      <c r="E142" s="84">
        <v>15</v>
      </c>
      <c r="F142" s="82">
        <v>1.5</v>
      </c>
      <c r="G142" s="62">
        <f>Inventory_List_Table5[[#This Row],[سحب أيوب ]]*Inventory_List_Table5[[#This Row],[التكلفة]]</f>
        <v>22.5</v>
      </c>
      <c r="H142" s="37"/>
    </row>
    <row r="143" spans="1:8" ht="24" customHeight="1" thickTop="1" thickBot="1" x14ac:dyDescent="0.35">
      <c r="A143" s="46">
        <v>140</v>
      </c>
      <c r="B143" s="94" t="s">
        <v>633</v>
      </c>
      <c r="C143" s="105"/>
      <c r="D143" s="106">
        <v>46229</v>
      </c>
      <c r="E143" s="84">
        <v>10</v>
      </c>
      <c r="F143" s="82">
        <v>1</v>
      </c>
      <c r="G143" s="62">
        <f>Inventory_List_Table5[[#This Row],[سحب أيوب ]]*Inventory_List_Table5[[#This Row],[التكلفة]]</f>
        <v>10</v>
      </c>
      <c r="H143" s="37"/>
    </row>
    <row r="144" spans="1:8" ht="24" customHeight="1" thickTop="1" thickBot="1" x14ac:dyDescent="0.35">
      <c r="A144" s="46">
        <v>141</v>
      </c>
      <c r="B144" s="79"/>
      <c r="C144" s="83"/>
      <c r="D144" s="64"/>
      <c r="E144" s="84"/>
      <c r="F144" s="82"/>
      <c r="G144" s="62">
        <f>Inventory_List_Table5[[#This Row],[سحب أيوب ]]*Inventory_List_Table5[[#This Row],[التكلفة]]</f>
        <v>0</v>
      </c>
      <c r="H144" s="37"/>
    </row>
    <row r="145" spans="1:8" ht="24" customHeight="1" thickTop="1" thickBot="1" x14ac:dyDescent="0.35">
      <c r="A145" s="46">
        <v>142</v>
      </c>
      <c r="B145" s="79"/>
      <c r="C145" s="83"/>
      <c r="D145" s="64"/>
      <c r="E145" s="84"/>
      <c r="F145" s="82"/>
      <c r="G145" s="62">
        <f>Inventory_List_Table5[[#This Row],[سحب أيوب ]]*Inventory_List_Table5[[#This Row],[التكلفة]]</f>
        <v>0</v>
      </c>
      <c r="H145" s="37"/>
    </row>
    <row r="146" spans="1:8" ht="24" customHeight="1" thickTop="1" thickBot="1" x14ac:dyDescent="0.35">
      <c r="A146" s="46">
        <v>143</v>
      </c>
      <c r="B146" s="79"/>
      <c r="C146" s="83"/>
      <c r="D146" s="64"/>
      <c r="E146" s="84"/>
      <c r="F146" s="82"/>
      <c r="G146" s="62">
        <f>Inventory_List_Table5[[#This Row],[سحب أيوب ]]*Inventory_List_Table5[[#This Row],[التكلفة]]</f>
        <v>0</v>
      </c>
      <c r="H146" s="37"/>
    </row>
    <row r="147" spans="1:8" ht="24" customHeight="1" thickTop="1" thickBot="1" x14ac:dyDescent="0.35">
      <c r="A147" s="46">
        <v>144</v>
      </c>
      <c r="B147" s="58"/>
      <c r="C147" s="58"/>
      <c r="D147" s="58"/>
      <c r="E147" s="59"/>
      <c r="F147" s="58"/>
      <c r="G147" s="62">
        <f>Inventory_List_Table5[[#This Row],[سحب أيوب ]]*Inventory_List_Table5[[#This Row],[التكلفة]]</f>
        <v>0</v>
      </c>
      <c r="H147" s="37"/>
    </row>
    <row r="148" spans="1:8" ht="24" customHeight="1" thickTop="1" thickBot="1" x14ac:dyDescent="0.35">
      <c r="A148" s="46">
        <v>145</v>
      </c>
      <c r="B148" s="58"/>
      <c r="C148" s="58"/>
      <c r="D148" s="58"/>
      <c r="E148" s="59"/>
      <c r="F148" s="60"/>
      <c r="G148" s="61">
        <f>Inventory_List_Table5[[#This Row],[سحب أيوب ]]*Inventory_List_Table5[[#This Row],[التكلفة]]</f>
        <v>0</v>
      </c>
      <c r="H148" s="37"/>
    </row>
    <row r="149" spans="1:8" ht="24" customHeight="1" thickTop="1" thickBot="1" x14ac:dyDescent="0.35">
      <c r="A149" s="46">
        <v>146</v>
      </c>
      <c r="B149" s="58"/>
      <c r="C149" s="58"/>
      <c r="D149" s="58"/>
      <c r="E149" s="59"/>
      <c r="F149" s="58"/>
      <c r="G149" s="62">
        <f>Inventory_List_Table5[[#This Row],[سحب أيوب ]]*Inventory_List_Table5[[#This Row],[التكلفة]]</f>
        <v>0</v>
      </c>
      <c r="H149" s="37"/>
    </row>
    <row r="150" spans="1:8" ht="24" customHeight="1" thickTop="1" thickBot="1" x14ac:dyDescent="0.35">
      <c r="A150" s="46">
        <v>147</v>
      </c>
      <c r="B150" s="58"/>
      <c r="C150" s="58"/>
      <c r="D150" s="58"/>
      <c r="E150" s="59"/>
      <c r="F150" s="58"/>
      <c r="G150" s="62">
        <f>Inventory_List_Table5[[#This Row],[سحب أيوب ]]*Inventory_List_Table5[[#This Row],[التكلفة]]</f>
        <v>0</v>
      </c>
      <c r="H150" s="37"/>
    </row>
    <row r="151" spans="1:8" ht="24" customHeight="1" thickTop="1" thickBot="1" x14ac:dyDescent="0.35">
      <c r="A151" s="46">
        <v>148</v>
      </c>
      <c r="B151" s="58"/>
      <c r="C151" s="58"/>
      <c r="D151" s="58"/>
      <c r="E151" s="59"/>
      <c r="F151" s="60"/>
      <c r="G151" s="61">
        <f>Inventory_List_Table5[[#This Row],[سحب أيوب ]]*Inventory_List_Table5[[#This Row],[التكلفة]]</f>
        <v>0</v>
      </c>
      <c r="H151" s="37"/>
    </row>
    <row r="152" spans="1:8" ht="24" customHeight="1" thickTop="1" thickBot="1" x14ac:dyDescent="0.35">
      <c r="A152" s="46">
        <v>149</v>
      </c>
      <c r="B152" s="58"/>
      <c r="C152" s="58"/>
      <c r="D152" s="58"/>
      <c r="E152" s="59"/>
      <c r="F152" s="60"/>
      <c r="G152" s="61">
        <f>Inventory_List_Table5[[#This Row],[سحب أيوب ]]*Inventory_List_Table5[[#This Row],[التكلفة]]</f>
        <v>0</v>
      </c>
      <c r="H152" s="37"/>
    </row>
    <row r="153" spans="1:8" ht="24" customHeight="1" thickTop="1" thickBot="1" x14ac:dyDescent="0.35">
      <c r="A153" s="46">
        <v>150</v>
      </c>
      <c r="B153" s="58"/>
      <c r="C153" s="58"/>
      <c r="D153" s="58"/>
      <c r="E153" s="59"/>
      <c r="F153" s="58"/>
      <c r="G153" s="62">
        <f>Inventory_List_Table5[[#This Row],[سحب أيوب ]]*Inventory_List_Table5[[#This Row],[التكلفة]]</f>
        <v>0</v>
      </c>
      <c r="H153" s="37"/>
    </row>
    <row r="154" spans="1:8" ht="24" customHeight="1" thickTop="1" thickBot="1" x14ac:dyDescent="0.35">
      <c r="A154" s="46">
        <v>151</v>
      </c>
      <c r="B154" s="58"/>
      <c r="C154" s="58"/>
      <c r="D154" s="58"/>
      <c r="E154" s="59"/>
      <c r="F154" s="58"/>
      <c r="G154" s="62">
        <f>Inventory_List_Table5[[#This Row],[سحب أيوب ]]*Inventory_List_Table5[[#This Row],[التكلفة]]</f>
        <v>0</v>
      </c>
      <c r="H154" s="37"/>
    </row>
    <row r="155" spans="1:8" ht="24" customHeight="1" thickTop="1" thickBot="1" x14ac:dyDescent="0.35">
      <c r="A155" s="46">
        <v>152</v>
      </c>
      <c r="B155" s="58"/>
      <c r="C155" s="58"/>
      <c r="D155" s="58"/>
      <c r="E155" s="59"/>
      <c r="F155" s="60"/>
      <c r="G155" s="61">
        <f>Inventory_List_Table5[[#This Row],[سحب أيوب ]]*Inventory_List_Table5[[#This Row],[التكلفة]]</f>
        <v>0</v>
      </c>
      <c r="H155" s="37"/>
    </row>
    <row r="156" spans="1:8" ht="24" customHeight="1" thickTop="1" thickBot="1" x14ac:dyDescent="0.35">
      <c r="A156" s="46">
        <v>153</v>
      </c>
      <c r="B156" s="58"/>
      <c r="C156" s="58"/>
      <c r="D156" s="58"/>
      <c r="E156" s="59"/>
      <c r="F156" s="58"/>
      <c r="G156" s="62">
        <f>Inventory_List_Table5[[#This Row],[سحب أيوب ]]*Inventory_List_Table5[[#This Row],[التكلفة]]</f>
        <v>0</v>
      </c>
      <c r="H156" s="37"/>
    </row>
    <row r="157" spans="1:8" ht="24" customHeight="1" thickTop="1" thickBot="1" x14ac:dyDescent="0.35">
      <c r="A157" s="46">
        <v>154</v>
      </c>
      <c r="B157" s="58"/>
      <c r="C157" s="58"/>
      <c r="D157" s="58"/>
      <c r="E157" s="59"/>
      <c r="F157" s="60"/>
      <c r="G157" s="61">
        <f>Inventory_List_Table5[[#This Row],[سحب أيوب ]]*Inventory_List_Table5[[#This Row],[التكلفة]]</f>
        <v>0</v>
      </c>
      <c r="H157" s="37"/>
    </row>
    <row r="158" spans="1:8" ht="24" customHeight="1" thickTop="1" thickBot="1" x14ac:dyDescent="0.35">
      <c r="A158" s="46">
        <v>155</v>
      </c>
      <c r="B158" s="58"/>
      <c r="C158" s="58"/>
      <c r="D158" s="58"/>
      <c r="E158" s="59"/>
      <c r="F158" s="60"/>
      <c r="G158" s="61">
        <f>Inventory_List_Table5[[#This Row],[سحب أيوب ]]*Inventory_List_Table5[[#This Row],[التكلفة]]</f>
        <v>0</v>
      </c>
      <c r="H158" s="37"/>
    </row>
    <row r="159" spans="1:8" ht="24" customHeight="1" thickTop="1" thickBot="1" x14ac:dyDescent="0.35">
      <c r="A159" s="46">
        <v>156</v>
      </c>
      <c r="B159" s="58"/>
      <c r="C159" s="58"/>
      <c r="D159" s="58"/>
      <c r="E159" s="59"/>
      <c r="F159" s="58"/>
      <c r="G159" s="62">
        <f>Inventory_List_Table5[[#This Row],[سحب أيوب ]]*Inventory_List_Table5[[#This Row],[التكلفة]]</f>
        <v>0</v>
      </c>
      <c r="H159" s="37"/>
    </row>
    <row r="160" spans="1:8" ht="24" customHeight="1" thickTop="1" thickBot="1" x14ac:dyDescent="0.35">
      <c r="A160" s="46">
        <v>157</v>
      </c>
      <c r="B160" s="58"/>
      <c r="C160" s="58"/>
      <c r="D160" s="58"/>
      <c r="E160" s="59"/>
      <c r="F160" s="60"/>
      <c r="G160" s="61">
        <f>Inventory_List_Table5[[#This Row],[سحب أيوب ]]*Inventory_List_Table5[[#This Row],[التكلفة]]</f>
        <v>0</v>
      </c>
      <c r="H160" s="37"/>
    </row>
    <row r="161" spans="1:8" ht="24" customHeight="1" thickTop="1" thickBot="1" x14ac:dyDescent="0.35">
      <c r="A161" s="46">
        <v>158</v>
      </c>
      <c r="B161" s="58"/>
      <c r="C161" s="58"/>
      <c r="D161" s="58"/>
      <c r="E161" s="59"/>
      <c r="F161" s="58"/>
      <c r="G161" s="62">
        <f>Inventory_List_Table5[[#This Row],[سحب أيوب ]]*Inventory_List_Table5[[#This Row],[التكلفة]]</f>
        <v>0</v>
      </c>
      <c r="H161" s="37"/>
    </row>
    <row r="162" spans="1:8" ht="24" customHeight="1" thickTop="1" thickBot="1" x14ac:dyDescent="0.35">
      <c r="A162" s="46">
        <v>159</v>
      </c>
      <c r="B162" s="58"/>
      <c r="C162" s="58"/>
      <c r="D162" s="58"/>
      <c r="E162" s="59"/>
      <c r="F162" s="58"/>
      <c r="G162" s="62">
        <f>Inventory_List_Table5[[#This Row],[سحب أيوب ]]*Inventory_List_Table5[[#This Row],[التكلفة]]</f>
        <v>0</v>
      </c>
      <c r="H162" s="37"/>
    </row>
    <row r="163" spans="1:8" ht="24" customHeight="1" thickTop="1" thickBot="1" x14ac:dyDescent="0.35">
      <c r="A163" s="46">
        <v>160</v>
      </c>
      <c r="B163" s="63"/>
      <c r="C163" s="63"/>
      <c r="D163" s="58"/>
      <c r="E163" s="59"/>
      <c r="F163" s="60"/>
      <c r="G163" s="61">
        <f>Inventory_List_Table5[[#This Row],[سحب أيوب ]]*Inventory_List_Table5[[#This Row],[التكلفة]]</f>
        <v>0</v>
      </c>
      <c r="H163" s="37"/>
    </row>
    <row r="164" spans="1:8" ht="24" customHeight="1" thickTop="1" thickBot="1" x14ac:dyDescent="0.35">
      <c r="A164" s="46">
        <v>161</v>
      </c>
      <c r="B164" s="58"/>
      <c r="C164" s="58"/>
      <c r="D164" s="58"/>
      <c r="E164" s="59"/>
      <c r="F164" s="60"/>
      <c r="G164" s="61">
        <f>Inventory_List_Table5[[#This Row],[سحب أيوب ]]*Inventory_List_Table5[[#This Row],[التكلفة]]</f>
        <v>0</v>
      </c>
      <c r="H164" s="37"/>
    </row>
    <row r="165" spans="1:8" ht="24" customHeight="1" thickTop="1" thickBot="1" x14ac:dyDescent="0.35">
      <c r="A165" s="46">
        <v>162</v>
      </c>
      <c r="B165" s="63"/>
      <c r="C165" s="63"/>
      <c r="D165" s="58"/>
      <c r="E165" s="59"/>
      <c r="F165" s="58"/>
      <c r="G165" s="62">
        <f>Inventory_List_Table5[[#This Row],[سحب أيوب ]]*Inventory_List_Table5[[#This Row],[التكلفة]]</f>
        <v>0</v>
      </c>
      <c r="H165" s="37"/>
    </row>
    <row r="166" spans="1:8" ht="24" customHeight="1" thickTop="1" thickBot="1" x14ac:dyDescent="0.35">
      <c r="A166" s="46">
        <v>163</v>
      </c>
      <c r="B166" s="63"/>
      <c r="C166" s="63"/>
      <c r="D166" s="58"/>
      <c r="E166" s="59"/>
      <c r="F166" s="60"/>
      <c r="G166" s="61">
        <f>Inventory_List_Table5[[#This Row],[سحب أيوب ]]*Inventory_List_Table5[[#This Row],[التكلفة]]</f>
        <v>0</v>
      </c>
      <c r="H166" s="37"/>
    </row>
    <row r="167" spans="1:8" ht="24" customHeight="1" thickTop="1" thickBot="1" x14ac:dyDescent="0.35">
      <c r="A167" s="46">
        <v>164</v>
      </c>
      <c r="B167" s="58"/>
      <c r="C167" s="58"/>
      <c r="D167" s="58"/>
      <c r="E167" s="59"/>
      <c r="F167" s="58"/>
      <c r="G167" s="62">
        <f>Inventory_List_Table5[[#This Row],[سحب أيوب ]]*Inventory_List_Table5[[#This Row],[التكلفة]]</f>
        <v>0</v>
      </c>
      <c r="H167" s="37"/>
    </row>
    <row r="168" spans="1:8" ht="24" customHeight="1" thickTop="1" thickBot="1" x14ac:dyDescent="0.35">
      <c r="A168" s="46">
        <v>165</v>
      </c>
      <c r="B168" s="58"/>
      <c r="C168" s="58"/>
      <c r="D168" s="58"/>
      <c r="E168" s="59"/>
      <c r="F168" s="58"/>
      <c r="G168" s="62">
        <f>Inventory_List_Table5[[#This Row],[سحب أيوب ]]*Inventory_List_Table5[[#This Row],[التكلفة]]</f>
        <v>0</v>
      </c>
      <c r="H168" s="37"/>
    </row>
    <row r="169" spans="1:8" ht="24" customHeight="1" thickTop="1" thickBot="1" x14ac:dyDescent="0.35">
      <c r="A169" s="46">
        <v>166</v>
      </c>
      <c r="B169" s="58"/>
      <c r="C169" s="58"/>
      <c r="D169" s="58"/>
      <c r="E169" s="59"/>
      <c r="F169" s="58"/>
      <c r="G169" s="62">
        <f>Inventory_List_Table5[[#This Row],[سحب أيوب ]]*Inventory_List_Table5[[#This Row],[التكلفة]]</f>
        <v>0</v>
      </c>
      <c r="H169" s="37"/>
    </row>
    <row r="170" spans="1:8" ht="24" customHeight="1" thickTop="1" thickBot="1" x14ac:dyDescent="0.35">
      <c r="A170" s="46">
        <v>167</v>
      </c>
      <c r="B170" s="63"/>
      <c r="C170" s="63"/>
      <c r="D170" s="58"/>
      <c r="E170" s="59"/>
      <c r="F170" s="60"/>
      <c r="G170" s="61">
        <f>Inventory_List_Table5[[#This Row],[سحب أيوب ]]*Inventory_List_Table5[[#This Row],[التكلفة]]</f>
        <v>0</v>
      </c>
      <c r="H170" s="37"/>
    </row>
    <row r="171" spans="1:8" ht="24" customHeight="1" thickTop="1" thickBot="1" x14ac:dyDescent="0.35">
      <c r="A171" s="46">
        <v>168</v>
      </c>
      <c r="B171" s="58"/>
      <c r="C171" s="58"/>
      <c r="D171" s="58"/>
      <c r="E171" s="59"/>
      <c r="F171" s="60"/>
      <c r="G171" s="61">
        <f>Inventory_List_Table5[[#This Row],[سحب أيوب ]]*Inventory_List_Table5[[#This Row],[التكلفة]]</f>
        <v>0</v>
      </c>
      <c r="H171" s="37"/>
    </row>
    <row r="172" spans="1:8" ht="24" customHeight="1" thickTop="1" thickBot="1" x14ac:dyDescent="0.35">
      <c r="A172" s="46">
        <v>169</v>
      </c>
      <c r="B172" s="58"/>
      <c r="C172" s="58"/>
      <c r="D172" s="58"/>
      <c r="E172" s="59"/>
      <c r="F172" s="58"/>
      <c r="G172" s="62">
        <f>Inventory_List_Table5[[#This Row],[سحب أيوب ]]*Inventory_List_Table5[[#This Row],[التكلفة]]</f>
        <v>0</v>
      </c>
      <c r="H172" s="37"/>
    </row>
    <row r="173" spans="1:8" ht="24" customHeight="1" thickTop="1" thickBot="1" x14ac:dyDescent="0.35">
      <c r="A173" s="46">
        <v>170</v>
      </c>
      <c r="B173" s="58"/>
      <c r="C173" s="58"/>
      <c r="D173" s="58"/>
      <c r="E173" s="59"/>
      <c r="F173" s="58"/>
      <c r="G173" s="62">
        <f>Inventory_List_Table5[[#This Row],[سحب أيوب ]]*Inventory_List_Table5[[#This Row],[التكلفة]]</f>
        <v>0</v>
      </c>
      <c r="H173" s="37"/>
    </row>
    <row r="174" spans="1:8" ht="24" customHeight="1" thickTop="1" thickBot="1" x14ac:dyDescent="0.35">
      <c r="A174" s="46">
        <v>171</v>
      </c>
      <c r="B174" s="58"/>
      <c r="C174" s="58"/>
      <c r="D174" s="58"/>
      <c r="E174" s="59"/>
      <c r="F174" s="60"/>
      <c r="G174" s="61">
        <f>Inventory_List_Table5[[#This Row],[سحب أيوب ]]*Inventory_List_Table5[[#This Row],[التكلفة]]</f>
        <v>0</v>
      </c>
      <c r="H174" s="37"/>
    </row>
    <row r="175" spans="1:8" ht="24" customHeight="1" thickTop="1" thickBot="1" x14ac:dyDescent="0.35">
      <c r="A175" s="46">
        <v>172</v>
      </c>
      <c r="B175" s="58"/>
      <c r="C175" s="58"/>
      <c r="D175" s="58"/>
      <c r="E175" s="59"/>
      <c r="F175" s="60"/>
      <c r="G175" s="61">
        <f>Inventory_List_Table5[[#This Row],[سحب أيوب ]]*Inventory_List_Table5[[#This Row],[التكلفة]]</f>
        <v>0</v>
      </c>
      <c r="H175" s="37"/>
    </row>
    <row r="176" spans="1:8" ht="24" customHeight="1" thickTop="1" thickBot="1" x14ac:dyDescent="0.35">
      <c r="A176" s="46">
        <v>173</v>
      </c>
      <c r="B176" s="58"/>
      <c r="C176" s="58"/>
      <c r="D176" s="58"/>
      <c r="E176" s="59"/>
      <c r="F176" s="60"/>
      <c r="G176" s="61">
        <f>Inventory_List_Table5[[#This Row],[سحب أيوب ]]*Inventory_List_Table5[[#This Row],[التكلفة]]</f>
        <v>0</v>
      </c>
      <c r="H176" s="37"/>
    </row>
    <row r="177" spans="1:8" ht="24" customHeight="1" thickTop="1" thickBot="1" x14ac:dyDescent="0.35">
      <c r="A177" s="46">
        <v>174</v>
      </c>
      <c r="B177" s="58"/>
      <c r="C177" s="58"/>
      <c r="D177" s="58"/>
      <c r="E177" s="59"/>
      <c r="F177" s="60"/>
      <c r="G177" s="61">
        <f>Inventory_List_Table5[[#This Row],[سحب أيوب ]]*Inventory_List_Table5[[#This Row],[التكلفة]]</f>
        <v>0</v>
      </c>
      <c r="H177" s="37"/>
    </row>
    <row r="178" spans="1:8" ht="24" customHeight="1" thickTop="1" thickBot="1" x14ac:dyDescent="0.35">
      <c r="A178" s="46">
        <v>175</v>
      </c>
      <c r="B178" s="58"/>
      <c r="C178" s="58"/>
      <c r="D178" s="58"/>
      <c r="E178" s="59"/>
      <c r="F178" s="58"/>
      <c r="G178" s="62">
        <f>Inventory_List_Table5[[#This Row],[سحب أيوب ]]*Inventory_List_Table5[[#This Row],[التكلفة]]</f>
        <v>0</v>
      </c>
      <c r="H178" s="37"/>
    </row>
    <row r="179" spans="1:8" ht="24" customHeight="1" thickTop="1" thickBot="1" x14ac:dyDescent="0.35">
      <c r="A179" s="46">
        <v>176</v>
      </c>
      <c r="B179" s="58"/>
      <c r="C179" s="58"/>
      <c r="D179" s="58"/>
      <c r="E179" s="59"/>
      <c r="F179" s="60"/>
      <c r="G179" s="61">
        <f>Inventory_List_Table5[[#This Row],[سحب أيوب ]]*Inventory_List_Table5[[#This Row],[التكلفة]]</f>
        <v>0</v>
      </c>
      <c r="H179" s="37"/>
    </row>
    <row r="180" spans="1:8" ht="24" customHeight="1" thickTop="1" thickBot="1" x14ac:dyDescent="0.35">
      <c r="A180" s="46">
        <v>177</v>
      </c>
      <c r="B180" s="58"/>
      <c r="C180" s="58"/>
      <c r="D180" s="58"/>
      <c r="E180" s="59"/>
      <c r="F180" s="60"/>
      <c r="G180" s="61">
        <f>Inventory_List_Table5[[#This Row],[سحب أيوب ]]*Inventory_List_Table5[[#This Row],[التكلفة]]</f>
        <v>0</v>
      </c>
      <c r="H180" s="37"/>
    </row>
    <row r="181" spans="1:8" ht="24" customHeight="1" thickTop="1" thickBot="1" x14ac:dyDescent="0.35">
      <c r="A181" s="46">
        <v>178</v>
      </c>
      <c r="B181" s="58"/>
      <c r="C181" s="58"/>
      <c r="D181" s="58"/>
      <c r="E181" s="59"/>
      <c r="F181" s="60"/>
      <c r="G181" s="61">
        <f>Inventory_List_Table5[[#This Row],[سحب أيوب ]]*Inventory_List_Table5[[#This Row],[التكلفة]]</f>
        <v>0</v>
      </c>
      <c r="H181" s="37"/>
    </row>
    <row r="182" spans="1:8" ht="24" customHeight="1" thickTop="1" thickBot="1" x14ac:dyDescent="0.35">
      <c r="A182" s="46">
        <v>179</v>
      </c>
      <c r="B182" s="58"/>
      <c r="C182" s="58"/>
      <c r="D182" s="58"/>
      <c r="E182" s="59"/>
      <c r="F182" s="58"/>
      <c r="G182" s="62">
        <f>Inventory_List_Table5[[#This Row],[سحب أيوب ]]*Inventory_List_Table5[[#This Row],[التكلفة]]</f>
        <v>0</v>
      </c>
      <c r="H182" s="37"/>
    </row>
    <row r="183" spans="1:8" ht="24" customHeight="1" thickTop="1" thickBot="1" x14ac:dyDescent="0.35">
      <c r="A183" s="46">
        <v>180</v>
      </c>
      <c r="B183" s="58"/>
      <c r="C183" s="58"/>
      <c r="D183" s="58"/>
      <c r="E183" s="59"/>
      <c r="F183" s="58"/>
      <c r="G183" s="62">
        <f>Inventory_List_Table5[[#This Row],[سحب أيوب ]]*Inventory_List_Table5[[#This Row],[التكلفة]]</f>
        <v>0</v>
      </c>
      <c r="H183" s="37"/>
    </row>
    <row r="184" spans="1:8" ht="24" customHeight="1" thickTop="1" thickBot="1" x14ac:dyDescent="0.35">
      <c r="A184" s="46">
        <v>181</v>
      </c>
      <c r="B184" s="58"/>
      <c r="C184" s="58"/>
      <c r="D184" s="58"/>
      <c r="E184" s="59"/>
      <c r="F184" s="58"/>
      <c r="G184" s="62">
        <f>Inventory_List_Table5[[#This Row],[سحب أيوب ]]*Inventory_List_Table5[[#This Row],[التكلفة]]</f>
        <v>0</v>
      </c>
      <c r="H184" s="37"/>
    </row>
    <row r="185" spans="1:8" ht="24" customHeight="1" thickTop="1" thickBot="1" x14ac:dyDescent="0.35">
      <c r="A185" s="46">
        <v>182</v>
      </c>
      <c r="B185" s="58"/>
      <c r="C185" s="58"/>
      <c r="D185" s="58"/>
      <c r="E185" s="59"/>
      <c r="F185" s="60"/>
      <c r="G185" s="61">
        <f>Inventory_List_Table5[[#This Row],[سحب أيوب ]]*Inventory_List_Table5[[#This Row],[التكلفة]]</f>
        <v>0</v>
      </c>
      <c r="H185" s="37"/>
    </row>
    <row r="186" spans="1:8" ht="24" customHeight="1" thickTop="1" thickBot="1" x14ac:dyDescent="0.35">
      <c r="A186" s="46">
        <v>183</v>
      </c>
      <c r="B186" s="58"/>
      <c r="C186" s="58"/>
      <c r="D186" s="58"/>
      <c r="E186" s="59"/>
      <c r="F186" s="58"/>
      <c r="G186" s="62">
        <f>Inventory_List_Table5[[#This Row],[سحب أيوب ]]*Inventory_List_Table5[[#This Row],[التكلفة]]</f>
        <v>0</v>
      </c>
      <c r="H186" s="37"/>
    </row>
    <row r="187" spans="1:8" ht="24" customHeight="1" thickTop="1" thickBot="1" x14ac:dyDescent="0.35">
      <c r="A187" s="46">
        <v>184</v>
      </c>
      <c r="B187" s="58"/>
      <c r="C187" s="58"/>
      <c r="D187" s="58"/>
      <c r="E187" s="59"/>
      <c r="F187" s="58"/>
      <c r="G187" s="62">
        <f>Inventory_List_Table5[[#This Row],[سحب أيوب ]]*Inventory_List_Table5[[#This Row],[التكلفة]]</f>
        <v>0</v>
      </c>
      <c r="H187" s="37"/>
    </row>
    <row r="188" spans="1:8" ht="24" customHeight="1" thickTop="1" thickBot="1" x14ac:dyDescent="0.35">
      <c r="A188" s="46">
        <v>185</v>
      </c>
      <c r="B188" s="58"/>
      <c r="C188" s="58"/>
      <c r="D188" s="58"/>
      <c r="E188" s="59"/>
      <c r="F188" s="60"/>
      <c r="G188" s="61">
        <f>Inventory_List_Table5[[#This Row],[سحب أيوب ]]*Inventory_List_Table5[[#This Row],[التكلفة]]</f>
        <v>0</v>
      </c>
      <c r="H188" s="37"/>
    </row>
    <row r="189" spans="1:8" ht="24" customHeight="1" thickTop="1" thickBot="1" x14ac:dyDescent="0.35">
      <c r="A189" s="46">
        <v>186</v>
      </c>
      <c r="B189" s="58"/>
      <c r="C189" s="58"/>
      <c r="D189" s="58"/>
      <c r="E189" s="59"/>
      <c r="F189" s="58"/>
      <c r="G189" s="62">
        <f>Inventory_List_Table5[[#This Row],[سحب أيوب ]]*Inventory_List_Table5[[#This Row],[التكلفة]]</f>
        <v>0</v>
      </c>
      <c r="H189" s="37"/>
    </row>
    <row r="190" spans="1:8" ht="24" customHeight="1" thickTop="1" thickBot="1" x14ac:dyDescent="0.35">
      <c r="A190" s="46">
        <v>187</v>
      </c>
      <c r="B190" s="58"/>
      <c r="C190" s="58"/>
      <c r="D190" s="58"/>
      <c r="E190" s="59"/>
      <c r="F190" s="60"/>
      <c r="G190" s="61">
        <f>Inventory_List_Table5[[#This Row],[سحب أيوب ]]*Inventory_List_Table5[[#This Row],[التكلفة]]</f>
        <v>0</v>
      </c>
      <c r="H190" s="37"/>
    </row>
    <row r="191" spans="1:8" ht="24" customHeight="1" thickTop="1" thickBot="1" x14ac:dyDescent="0.35">
      <c r="A191" s="46">
        <v>188</v>
      </c>
      <c r="B191" s="58"/>
      <c r="C191" s="58"/>
      <c r="D191" s="58"/>
      <c r="E191" s="59"/>
      <c r="F191" s="58"/>
      <c r="G191" s="62">
        <f>Inventory_List_Table5[[#This Row],[سحب أيوب ]]*Inventory_List_Table5[[#This Row],[التكلفة]]</f>
        <v>0</v>
      </c>
      <c r="H191" s="37"/>
    </row>
    <row r="192" spans="1:8" ht="24" customHeight="1" thickTop="1" thickBot="1" x14ac:dyDescent="0.35">
      <c r="A192" s="46">
        <v>189</v>
      </c>
      <c r="B192" s="58"/>
      <c r="C192" s="58"/>
      <c r="D192" s="58"/>
      <c r="E192" s="59"/>
      <c r="F192" s="58"/>
      <c r="G192" s="62">
        <f>Inventory_List_Table5[[#This Row],[سحب أيوب ]]*Inventory_List_Table5[[#This Row],[التكلفة]]</f>
        <v>0</v>
      </c>
      <c r="H192" s="37"/>
    </row>
    <row r="193" spans="1:8" ht="24" customHeight="1" thickTop="1" thickBot="1" x14ac:dyDescent="0.35">
      <c r="A193" s="46">
        <v>190</v>
      </c>
      <c r="B193" s="58"/>
      <c r="C193" s="58"/>
      <c r="D193" s="58"/>
      <c r="E193" s="59"/>
      <c r="F193" s="58"/>
      <c r="G193" s="62">
        <f>Inventory_List_Table5[[#This Row],[سحب أيوب ]]*Inventory_List_Table5[[#This Row],[التكلفة]]</f>
        <v>0</v>
      </c>
      <c r="H193" s="37"/>
    </row>
    <row r="194" spans="1:8" ht="24" customHeight="1" thickTop="1" thickBot="1" x14ac:dyDescent="0.35">
      <c r="A194" s="46">
        <v>191</v>
      </c>
      <c r="B194" s="58"/>
      <c r="C194" s="58"/>
      <c r="D194" s="58"/>
      <c r="E194" s="59"/>
      <c r="F194" s="60"/>
      <c r="G194" s="61">
        <f>Inventory_List_Table5[[#This Row],[سحب أيوب ]]*Inventory_List_Table5[[#This Row],[التكلفة]]</f>
        <v>0</v>
      </c>
      <c r="H194" s="37"/>
    </row>
    <row r="195" spans="1:8" ht="24" customHeight="1" thickTop="1" thickBot="1" x14ac:dyDescent="0.35">
      <c r="A195" s="46">
        <v>192</v>
      </c>
      <c r="B195" s="58"/>
      <c r="C195" s="58"/>
      <c r="D195" s="58"/>
      <c r="E195" s="59"/>
      <c r="F195" s="60"/>
      <c r="G195" s="61">
        <f>Inventory_List_Table5[[#This Row],[سحب أيوب ]]*Inventory_List_Table5[[#This Row],[التكلفة]]</f>
        <v>0</v>
      </c>
      <c r="H195" s="37"/>
    </row>
    <row r="196" spans="1:8" ht="24" customHeight="1" thickTop="1" thickBot="1" x14ac:dyDescent="0.35">
      <c r="A196" s="46">
        <v>193</v>
      </c>
      <c r="B196" s="58"/>
      <c r="C196" s="58"/>
      <c r="D196" s="58"/>
      <c r="E196" s="59"/>
      <c r="F196" s="60"/>
      <c r="G196" s="61">
        <f>Inventory_List_Table5[[#This Row],[سحب أيوب ]]*Inventory_List_Table5[[#This Row],[التكلفة]]</f>
        <v>0</v>
      </c>
      <c r="H196" s="37"/>
    </row>
    <row r="197" spans="1:8" ht="24" customHeight="1" thickTop="1" thickBot="1" x14ac:dyDescent="0.35">
      <c r="A197" s="46">
        <v>194</v>
      </c>
      <c r="B197" s="58"/>
      <c r="C197" s="58"/>
      <c r="D197" s="58"/>
      <c r="E197" s="59"/>
      <c r="F197" s="58"/>
      <c r="G197" s="62">
        <f>Inventory_List_Table5[[#This Row],[سحب أيوب ]]*Inventory_List_Table5[[#This Row],[التكلفة]]</f>
        <v>0</v>
      </c>
      <c r="H197" s="37"/>
    </row>
    <row r="198" spans="1:8" ht="24" customHeight="1" thickTop="1" thickBot="1" x14ac:dyDescent="0.35">
      <c r="A198" s="46">
        <v>195</v>
      </c>
      <c r="B198" s="58"/>
      <c r="C198" s="58"/>
      <c r="D198" s="58"/>
      <c r="E198" s="59"/>
      <c r="F198" s="60"/>
      <c r="G198" s="61">
        <f>Inventory_List_Table5[[#This Row],[سحب أيوب ]]*Inventory_List_Table5[[#This Row],[التكلفة]]</f>
        <v>0</v>
      </c>
      <c r="H198" s="37"/>
    </row>
    <row r="199" spans="1:8" ht="24" customHeight="1" thickTop="1" thickBot="1" x14ac:dyDescent="0.35">
      <c r="A199" s="46">
        <v>196</v>
      </c>
      <c r="B199" s="58"/>
      <c r="C199" s="58"/>
      <c r="D199" s="58"/>
      <c r="E199" s="59"/>
      <c r="F199" s="60"/>
      <c r="G199" s="61">
        <f>Inventory_List_Table5[[#This Row],[سحب أيوب ]]*Inventory_List_Table5[[#This Row],[التكلفة]]</f>
        <v>0</v>
      </c>
      <c r="H199" s="37"/>
    </row>
    <row r="200" spans="1:8" ht="24" customHeight="1" thickTop="1" thickBot="1" x14ac:dyDescent="0.35">
      <c r="A200" s="46">
        <v>197</v>
      </c>
      <c r="B200" s="58"/>
      <c r="C200" s="58"/>
      <c r="D200" s="58"/>
      <c r="E200" s="59"/>
      <c r="F200" s="58"/>
      <c r="G200" s="62">
        <f>Inventory_List_Table5[[#This Row],[سحب أيوب ]]*Inventory_List_Table5[[#This Row],[التكلفة]]</f>
        <v>0</v>
      </c>
      <c r="H200" s="37"/>
    </row>
    <row r="201" spans="1:8" ht="24" customHeight="1" thickTop="1" thickBot="1" x14ac:dyDescent="0.35">
      <c r="A201" s="46">
        <v>198</v>
      </c>
      <c r="B201" s="58"/>
      <c r="C201" s="58"/>
      <c r="D201" s="58"/>
      <c r="E201" s="59"/>
      <c r="F201" s="60"/>
      <c r="G201" s="61">
        <f>Inventory_List_Table5[[#This Row],[سحب أيوب ]]*Inventory_List_Table5[[#This Row],[التكلفة]]</f>
        <v>0</v>
      </c>
      <c r="H201" s="37"/>
    </row>
    <row r="202" spans="1:8" ht="24" customHeight="1" thickTop="1" thickBot="1" x14ac:dyDescent="0.35">
      <c r="A202" s="46">
        <v>199</v>
      </c>
      <c r="B202" s="58"/>
      <c r="C202" s="58"/>
      <c r="D202" s="58"/>
      <c r="E202" s="59"/>
      <c r="F202" s="58"/>
      <c r="G202" s="62">
        <f>Inventory_List_Table5[[#This Row],[سحب أيوب ]]*Inventory_List_Table5[[#This Row],[التكلفة]]</f>
        <v>0</v>
      </c>
      <c r="H202" s="37"/>
    </row>
    <row r="203" spans="1:8" ht="24" customHeight="1" thickTop="1" thickBot="1" x14ac:dyDescent="0.35">
      <c r="A203" s="46">
        <v>200</v>
      </c>
      <c r="B203" s="58"/>
      <c r="C203" s="58"/>
      <c r="D203" s="58"/>
      <c r="E203" s="59"/>
      <c r="F203" s="60"/>
      <c r="G203" s="61">
        <f>Inventory_List_Table5[[#This Row],[سحب أيوب ]]*Inventory_List_Table5[[#This Row],[التكلفة]]</f>
        <v>0</v>
      </c>
      <c r="H203" s="37"/>
    </row>
    <row r="204" spans="1:8" ht="24" customHeight="1" thickTop="1" thickBot="1" x14ac:dyDescent="0.35">
      <c r="A204" s="46">
        <v>201</v>
      </c>
      <c r="B204" s="58"/>
      <c r="C204" s="58"/>
      <c r="D204" s="58"/>
      <c r="E204" s="59"/>
      <c r="F204" s="58"/>
      <c r="G204" s="62">
        <f>Inventory_List_Table5[[#This Row],[سحب أيوب ]]*Inventory_List_Table5[[#This Row],[التكلفة]]</f>
        <v>0</v>
      </c>
      <c r="H204" s="37"/>
    </row>
    <row r="205" spans="1:8" ht="24" customHeight="1" thickTop="1" thickBot="1" x14ac:dyDescent="0.35">
      <c r="A205" s="46">
        <v>202</v>
      </c>
      <c r="B205" s="58"/>
      <c r="C205" s="58"/>
      <c r="D205" s="58"/>
      <c r="E205" s="59"/>
      <c r="F205" s="60"/>
      <c r="G205" s="61">
        <f>Inventory_List_Table5[[#This Row],[سحب أيوب ]]*Inventory_List_Table5[[#This Row],[التكلفة]]</f>
        <v>0</v>
      </c>
      <c r="H205" s="37"/>
    </row>
    <row r="206" spans="1:8" ht="24" customHeight="1" thickTop="1" thickBot="1" x14ac:dyDescent="0.35">
      <c r="A206" s="46">
        <v>203</v>
      </c>
      <c r="B206" s="58"/>
      <c r="C206" s="58"/>
      <c r="D206" s="58"/>
      <c r="E206" s="59"/>
      <c r="F206" s="60"/>
      <c r="G206" s="61">
        <f>Inventory_List_Table5[[#This Row],[سحب أيوب ]]*Inventory_List_Table5[[#This Row],[التكلفة]]</f>
        <v>0</v>
      </c>
      <c r="H206" s="37"/>
    </row>
    <row r="207" spans="1:8" ht="24" customHeight="1" thickTop="1" thickBot="1" x14ac:dyDescent="0.35">
      <c r="A207" s="46">
        <v>204</v>
      </c>
      <c r="B207" s="58"/>
      <c r="C207" s="58"/>
      <c r="D207" s="58"/>
      <c r="E207" s="59"/>
      <c r="F207" s="58"/>
      <c r="G207" s="62">
        <f>Inventory_List_Table5[[#This Row],[سحب أيوب ]]*Inventory_List_Table5[[#This Row],[التكلفة]]</f>
        <v>0</v>
      </c>
      <c r="H207" s="37"/>
    </row>
    <row r="208" spans="1:8" ht="24" customHeight="1" thickTop="1" thickBot="1" x14ac:dyDescent="0.35">
      <c r="A208" s="46">
        <v>205</v>
      </c>
      <c r="B208" s="58"/>
      <c r="C208" s="58"/>
      <c r="D208" s="58"/>
      <c r="E208" s="59"/>
      <c r="F208" s="58"/>
      <c r="G208" s="62">
        <f>Inventory_List_Table5[[#This Row],[سحب أيوب ]]*Inventory_List_Table5[[#This Row],[التكلفة]]</f>
        <v>0</v>
      </c>
      <c r="H208" s="37"/>
    </row>
    <row r="209" spans="1:8" ht="24" customHeight="1" thickTop="1" thickBot="1" x14ac:dyDescent="0.35">
      <c r="A209" s="46">
        <v>206</v>
      </c>
      <c r="B209" s="63"/>
      <c r="C209" s="63"/>
      <c r="D209" s="58"/>
      <c r="E209" s="59"/>
      <c r="F209" s="60"/>
      <c r="G209" s="61">
        <f>Inventory_List_Table5[[#This Row],[سحب أيوب ]]*Inventory_List_Table5[[#This Row],[التكلفة]]</f>
        <v>0</v>
      </c>
      <c r="H209" s="37"/>
    </row>
    <row r="210" spans="1:8" ht="24" customHeight="1" thickTop="1" thickBot="1" x14ac:dyDescent="0.35">
      <c r="A210" s="46">
        <v>207</v>
      </c>
      <c r="B210" s="58"/>
      <c r="C210" s="58"/>
      <c r="D210" s="58"/>
      <c r="E210" s="59"/>
      <c r="F210" s="58"/>
      <c r="G210" s="62">
        <f>Inventory_List_Table5[[#This Row],[سحب أيوب ]]*Inventory_List_Table5[[#This Row],[التكلفة]]</f>
        <v>0</v>
      </c>
      <c r="H210" s="37"/>
    </row>
    <row r="211" spans="1:8" ht="24" customHeight="1" thickTop="1" thickBot="1" x14ac:dyDescent="0.35">
      <c r="A211" s="46">
        <v>208</v>
      </c>
      <c r="B211" s="58"/>
      <c r="C211" s="58"/>
      <c r="D211" s="58"/>
      <c r="E211" s="59"/>
      <c r="F211" s="60"/>
      <c r="G211" s="61">
        <f>Inventory_List_Table5[[#This Row],[سحب أيوب ]]*Inventory_List_Table5[[#This Row],[التكلفة]]</f>
        <v>0</v>
      </c>
      <c r="H211" s="37"/>
    </row>
    <row r="212" spans="1:8" ht="24" customHeight="1" thickTop="1" thickBot="1" x14ac:dyDescent="0.35">
      <c r="A212" s="46">
        <v>209</v>
      </c>
      <c r="B212" s="58"/>
      <c r="C212" s="58"/>
      <c r="D212" s="58"/>
      <c r="E212" s="59"/>
      <c r="F212" s="58"/>
      <c r="G212" s="62">
        <f>Inventory_List_Table5[[#This Row],[سحب أيوب ]]*Inventory_List_Table5[[#This Row],[التكلفة]]</f>
        <v>0</v>
      </c>
      <c r="H212" s="37"/>
    </row>
    <row r="213" spans="1:8" ht="24" customHeight="1" thickTop="1" thickBot="1" x14ac:dyDescent="0.35">
      <c r="A213" s="46">
        <v>210</v>
      </c>
      <c r="B213" s="58"/>
      <c r="C213" s="58"/>
      <c r="D213" s="58"/>
      <c r="E213" s="59"/>
      <c r="F213" s="58"/>
      <c r="G213" s="62">
        <f>Inventory_List_Table5[[#This Row],[سحب أيوب ]]*Inventory_List_Table5[[#This Row],[التكلفة]]</f>
        <v>0</v>
      </c>
      <c r="H213" s="37"/>
    </row>
    <row r="214" spans="1:8" ht="24" customHeight="1" thickTop="1" thickBot="1" x14ac:dyDescent="0.35">
      <c r="A214" s="46">
        <v>211</v>
      </c>
      <c r="B214" s="63"/>
      <c r="C214" s="63"/>
      <c r="D214" s="58"/>
      <c r="E214" s="59"/>
      <c r="F214" s="58"/>
      <c r="G214" s="62">
        <f>Inventory_List_Table5[[#This Row],[سحب أيوب ]]*Inventory_List_Table5[[#This Row],[التكلفة]]</f>
        <v>0</v>
      </c>
      <c r="H214" s="37"/>
    </row>
    <row r="215" spans="1:8" ht="24" customHeight="1" thickTop="1" thickBot="1" x14ac:dyDescent="0.35">
      <c r="A215" s="46">
        <v>212</v>
      </c>
      <c r="B215" s="58"/>
      <c r="C215" s="58"/>
      <c r="D215" s="58"/>
      <c r="E215" s="59"/>
      <c r="F215" s="60"/>
      <c r="G215" s="61">
        <f>Inventory_List_Table5[[#This Row],[سحب أيوب ]]*Inventory_List_Table5[[#This Row],[التكلفة]]</f>
        <v>0</v>
      </c>
      <c r="H215" s="37"/>
    </row>
    <row r="216" spans="1:8" ht="24" customHeight="1" thickTop="1" thickBot="1" x14ac:dyDescent="0.35">
      <c r="A216" s="46">
        <v>213</v>
      </c>
      <c r="B216" s="58"/>
      <c r="C216" s="58"/>
      <c r="D216" s="58"/>
      <c r="E216" s="59"/>
      <c r="F216" s="58"/>
      <c r="G216" s="62">
        <f>Inventory_List_Table5[[#This Row],[سحب أيوب ]]*Inventory_List_Table5[[#This Row],[التكلفة]]</f>
        <v>0</v>
      </c>
      <c r="H216" s="37"/>
    </row>
    <row r="217" spans="1:8" ht="24" customHeight="1" thickTop="1" thickBot="1" x14ac:dyDescent="0.35">
      <c r="A217" s="46">
        <v>214</v>
      </c>
      <c r="B217" s="58"/>
      <c r="C217" s="58"/>
      <c r="D217" s="58"/>
      <c r="E217" s="59"/>
      <c r="F217" s="60"/>
      <c r="G217" s="61">
        <f>Inventory_List_Table5[[#This Row],[سحب أيوب ]]*Inventory_List_Table5[[#This Row],[التكلفة]]</f>
        <v>0</v>
      </c>
      <c r="H217" s="37"/>
    </row>
    <row r="218" spans="1:8" ht="24" customHeight="1" thickTop="1" thickBot="1" x14ac:dyDescent="0.35">
      <c r="A218" s="46">
        <v>215</v>
      </c>
      <c r="B218" s="58"/>
      <c r="C218" s="58"/>
      <c r="D218" s="58"/>
      <c r="E218" s="59"/>
      <c r="F218" s="60"/>
      <c r="G218" s="61">
        <f>Inventory_List_Table5[[#This Row],[سحب أيوب ]]*Inventory_List_Table5[[#This Row],[التكلفة]]</f>
        <v>0</v>
      </c>
      <c r="H218" s="37"/>
    </row>
    <row r="219" spans="1:8" ht="24" customHeight="1" thickTop="1" thickBot="1" x14ac:dyDescent="0.35">
      <c r="A219" s="46">
        <v>216</v>
      </c>
      <c r="B219" s="58"/>
      <c r="C219" s="58"/>
      <c r="D219" s="58"/>
      <c r="E219" s="59"/>
      <c r="F219" s="58"/>
      <c r="G219" s="62">
        <f>Inventory_List_Table5[[#This Row],[سحب أيوب ]]*Inventory_List_Table5[[#This Row],[التكلفة]]</f>
        <v>0</v>
      </c>
      <c r="H219" s="37"/>
    </row>
    <row r="220" spans="1:8" ht="24" customHeight="1" thickTop="1" thickBot="1" x14ac:dyDescent="0.35">
      <c r="A220" s="46">
        <v>217</v>
      </c>
      <c r="B220" s="58"/>
      <c r="C220" s="58"/>
      <c r="D220" s="58"/>
      <c r="E220" s="59"/>
      <c r="F220" s="60"/>
      <c r="G220" s="61">
        <f>Inventory_List_Table5[[#This Row],[سحب أيوب ]]*Inventory_List_Table5[[#This Row],[التكلفة]]</f>
        <v>0</v>
      </c>
      <c r="H220" s="37"/>
    </row>
    <row r="221" spans="1:8" ht="24" customHeight="1" thickTop="1" thickBot="1" x14ac:dyDescent="0.35">
      <c r="A221" s="46">
        <v>218</v>
      </c>
      <c r="B221" s="58"/>
      <c r="C221" s="58"/>
      <c r="D221" s="58"/>
      <c r="E221" s="59"/>
      <c r="F221" s="58"/>
      <c r="G221" s="62">
        <f>Inventory_List_Table5[[#This Row],[سحب أيوب ]]*Inventory_List_Table5[[#This Row],[التكلفة]]</f>
        <v>0</v>
      </c>
      <c r="H221" s="37"/>
    </row>
    <row r="222" spans="1:8" ht="24" customHeight="1" thickTop="1" thickBot="1" x14ac:dyDescent="0.35">
      <c r="A222" s="46">
        <v>219</v>
      </c>
      <c r="B222" s="58"/>
      <c r="C222" s="58"/>
      <c r="D222" s="58"/>
      <c r="E222" s="59"/>
      <c r="F222" s="60"/>
      <c r="G222" s="61">
        <f>Inventory_List_Table5[[#This Row],[سحب أيوب ]]*Inventory_List_Table5[[#This Row],[التكلفة]]</f>
        <v>0</v>
      </c>
      <c r="H222" s="37"/>
    </row>
    <row r="223" spans="1:8" ht="24" customHeight="1" thickTop="1" thickBot="1" x14ac:dyDescent="0.35">
      <c r="A223" s="46">
        <v>220</v>
      </c>
      <c r="B223" s="58"/>
      <c r="C223" s="58"/>
      <c r="D223" s="58"/>
      <c r="E223" s="59"/>
      <c r="F223" s="60"/>
      <c r="G223" s="61">
        <f>Inventory_List_Table5[[#This Row],[سحب أيوب ]]*Inventory_List_Table5[[#This Row],[التكلفة]]</f>
        <v>0</v>
      </c>
      <c r="H223" s="37"/>
    </row>
    <row r="224" spans="1:8" ht="24" customHeight="1" thickTop="1" thickBot="1" x14ac:dyDescent="0.35">
      <c r="A224" s="46">
        <v>221</v>
      </c>
      <c r="B224" s="58"/>
      <c r="C224" s="58"/>
      <c r="D224" s="58"/>
      <c r="E224" s="59"/>
      <c r="F224" s="58"/>
      <c r="G224" s="62">
        <f>Inventory_List_Table5[[#This Row],[سحب أيوب ]]*Inventory_List_Table5[[#This Row],[التكلفة]]</f>
        <v>0</v>
      </c>
      <c r="H224" s="37"/>
    </row>
    <row r="225" spans="1:8" ht="24" customHeight="1" thickTop="1" thickBot="1" x14ac:dyDescent="0.35">
      <c r="A225" s="46">
        <v>222</v>
      </c>
      <c r="B225" s="58"/>
      <c r="C225" s="58"/>
      <c r="D225" s="58"/>
      <c r="E225" s="59"/>
      <c r="F225" s="60"/>
      <c r="G225" s="61">
        <f>Inventory_List_Table5[[#This Row],[سحب أيوب ]]*Inventory_List_Table5[[#This Row],[التكلفة]]</f>
        <v>0</v>
      </c>
      <c r="H225" s="37"/>
    </row>
    <row r="226" spans="1:8" ht="24" customHeight="1" thickTop="1" thickBot="1" x14ac:dyDescent="0.35">
      <c r="A226" s="46">
        <v>223</v>
      </c>
      <c r="B226" s="58"/>
      <c r="C226" s="58"/>
      <c r="D226" s="58"/>
      <c r="E226" s="59"/>
      <c r="F226" s="58"/>
      <c r="G226" s="62">
        <f>Inventory_List_Table5[[#This Row],[سحب أيوب ]]*Inventory_List_Table5[[#This Row],[التكلفة]]</f>
        <v>0</v>
      </c>
      <c r="H226" s="37"/>
    </row>
    <row r="227" spans="1:8" ht="24" customHeight="1" thickTop="1" thickBot="1" x14ac:dyDescent="0.35">
      <c r="A227" s="46">
        <v>224</v>
      </c>
      <c r="B227" s="58"/>
      <c r="C227" s="58"/>
      <c r="D227" s="58"/>
      <c r="E227" s="59"/>
      <c r="F227" s="60"/>
      <c r="G227" s="61">
        <f>Inventory_List_Table5[[#This Row],[سحب أيوب ]]*Inventory_List_Table5[[#This Row],[التكلفة]]</f>
        <v>0</v>
      </c>
      <c r="H227" s="37"/>
    </row>
    <row r="228" spans="1:8" ht="24" customHeight="1" thickTop="1" thickBot="1" x14ac:dyDescent="0.35">
      <c r="A228" s="46">
        <v>225</v>
      </c>
      <c r="B228" s="58"/>
      <c r="C228" s="58"/>
      <c r="D228" s="58"/>
      <c r="E228" s="59"/>
      <c r="F228" s="58"/>
      <c r="G228" s="62">
        <f>Inventory_List_Table5[[#This Row],[سحب أيوب ]]*Inventory_List_Table5[[#This Row],[التكلفة]]</f>
        <v>0</v>
      </c>
      <c r="H228" s="37"/>
    </row>
    <row r="229" spans="1:8" ht="24" customHeight="1" thickTop="1" thickBot="1" x14ac:dyDescent="0.35">
      <c r="A229" s="46">
        <v>226</v>
      </c>
      <c r="B229" s="58"/>
      <c r="C229" s="58"/>
      <c r="D229" s="58"/>
      <c r="E229" s="59"/>
      <c r="F229" s="60"/>
      <c r="G229" s="61">
        <f>Inventory_List_Table5[[#This Row],[سحب أيوب ]]*Inventory_List_Table5[[#This Row],[التكلفة]]</f>
        <v>0</v>
      </c>
      <c r="H229" s="37"/>
    </row>
    <row r="230" spans="1:8" ht="24" customHeight="1" thickTop="1" thickBot="1" x14ac:dyDescent="0.35">
      <c r="A230" s="46">
        <v>227</v>
      </c>
      <c r="B230" s="58"/>
      <c r="C230" s="58"/>
      <c r="D230" s="58"/>
      <c r="E230" s="59"/>
      <c r="F230" s="58"/>
      <c r="G230" s="62">
        <f>Inventory_List_Table5[[#This Row],[سحب أيوب ]]*Inventory_List_Table5[[#This Row],[التكلفة]]</f>
        <v>0</v>
      </c>
      <c r="H230" s="37"/>
    </row>
    <row r="231" spans="1:8" ht="24" customHeight="1" thickTop="1" thickBot="1" x14ac:dyDescent="0.35">
      <c r="A231" s="46">
        <v>228</v>
      </c>
      <c r="B231" s="63"/>
      <c r="C231" s="63"/>
      <c r="D231" s="58"/>
      <c r="E231" s="59"/>
      <c r="F231" s="60"/>
      <c r="G231" s="61">
        <f>Inventory_List_Table5[[#This Row],[سحب أيوب ]]*Inventory_List_Table5[[#This Row],[التكلفة]]</f>
        <v>0</v>
      </c>
      <c r="H231" s="37"/>
    </row>
    <row r="232" spans="1:8" ht="24" customHeight="1" thickTop="1" thickBot="1" x14ac:dyDescent="0.35">
      <c r="A232" s="46">
        <v>229</v>
      </c>
      <c r="B232" s="63"/>
      <c r="C232" s="63"/>
      <c r="D232" s="58"/>
      <c r="E232" s="59"/>
      <c r="F232" s="58"/>
      <c r="G232" s="62">
        <f>Inventory_List_Table5[[#This Row],[سحب أيوب ]]*Inventory_List_Table5[[#This Row],[التكلفة]]</f>
        <v>0</v>
      </c>
      <c r="H232" s="37"/>
    </row>
    <row r="233" spans="1:8" ht="24" customHeight="1" thickTop="1" thickBot="1" x14ac:dyDescent="0.35">
      <c r="A233" s="46">
        <v>230</v>
      </c>
      <c r="B233" s="63"/>
      <c r="C233" s="63"/>
      <c r="D233" s="58"/>
      <c r="E233" s="59"/>
      <c r="F233" s="60"/>
      <c r="G233" s="61">
        <f>Inventory_List_Table5[[#This Row],[سحب أيوب ]]*Inventory_List_Table5[[#This Row],[التكلفة]]</f>
        <v>0</v>
      </c>
      <c r="H233" s="37"/>
    </row>
    <row r="234" spans="1:8" ht="24" customHeight="1" thickTop="1" thickBot="1" x14ac:dyDescent="0.35">
      <c r="A234" s="46">
        <v>231</v>
      </c>
      <c r="B234" s="63"/>
      <c r="C234" s="63"/>
      <c r="D234" s="58"/>
      <c r="E234" s="59"/>
      <c r="F234" s="58"/>
      <c r="G234" s="62">
        <f>Inventory_List_Table5[[#This Row],[سحب أيوب ]]*Inventory_List_Table5[[#This Row],[التكلفة]]</f>
        <v>0</v>
      </c>
      <c r="H234" s="37"/>
    </row>
    <row r="235" spans="1:8" ht="24" customHeight="1" thickTop="1" thickBot="1" x14ac:dyDescent="0.35">
      <c r="A235" s="46">
        <v>232</v>
      </c>
      <c r="B235" s="58"/>
      <c r="C235" s="58"/>
      <c r="D235" s="58"/>
      <c r="E235" s="59"/>
      <c r="F235" s="60"/>
      <c r="G235" s="61">
        <f>Inventory_List_Table5[[#This Row],[سحب أيوب ]]*Inventory_List_Table5[[#This Row],[التكلفة]]</f>
        <v>0</v>
      </c>
      <c r="H235" s="37"/>
    </row>
    <row r="236" spans="1:8" ht="24" customHeight="1" thickTop="1" thickBot="1" x14ac:dyDescent="0.35">
      <c r="A236" s="46">
        <v>233</v>
      </c>
      <c r="B236" s="58"/>
      <c r="C236" s="58"/>
      <c r="D236" s="58"/>
      <c r="E236" s="59"/>
      <c r="F236" s="60"/>
      <c r="G236" s="61">
        <f>Inventory_List_Table5[[#This Row],[سحب أيوب ]]*Inventory_List_Table5[[#This Row],[التكلفة]]</f>
        <v>0</v>
      </c>
      <c r="H236" s="37"/>
    </row>
    <row r="237" spans="1:8" ht="24" customHeight="1" thickTop="1" thickBot="1" x14ac:dyDescent="0.35">
      <c r="A237" s="46">
        <v>234</v>
      </c>
      <c r="B237" s="58"/>
      <c r="C237" s="58"/>
      <c r="D237" s="58"/>
      <c r="E237" s="59"/>
      <c r="F237" s="60"/>
      <c r="G237" s="61">
        <f>Inventory_List_Table5[[#This Row],[سحب أيوب ]]*Inventory_List_Table5[[#This Row],[التكلفة]]</f>
        <v>0</v>
      </c>
      <c r="H237" s="37"/>
    </row>
    <row r="238" spans="1:8" ht="24" customHeight="1" thickTop="1" thickBot="1" x14ac:dyDescent="0.35">
      <c r="A238" s="46">
        <v>235</v>
      </c>
      <c r="B238" s="58"/>
      <c r="C238" s="58"/>
      <c r="D238" s="58"/>
      <c r="E238" s="59"/>
      <c r="F238" s="58"/>
      <c r="G238" s="62">
        <f>Inventory_List_Table5[[#This Row],[سحب أيوب ]]*Inventory_List_Table5[[#This Row],[التكلفة]]</f>
        <v>0</v>
      </c>
      <c r="H238" s="37"/>
    </row>
    <row r="239" spans="1:8" ht="24" customHeight="1" thickTop="1" thickBot="1" x14ac:dyDescent="0.35">
      <c r="A239" s="46">
        <v>236</v>
      </c>
      <c r="B239" s="58"/>
      <c r="C239" s="58"/>
      <c r="D239" s="58"/>
      <c r="E239" s="59"/>
      <c r="F239" s="58"/>
      <c r="G239" s="62">
        <f>Inventory_List_Table5[[#This Row],[سحب أيوب ]]*Inventory_List_Table5[[#This Row],[التكلفة]]</f>
        <v>0</v>
      </c>
      <c r="H239" s="37"/>
    </row>
    <row r="240" spans="1:8" ht="24" customHeight="1" thickTop="1" thickBot="1" x14ac:dyDescent="0.35">
      <c r="A240" s="46">
        <v>237</v>
      </c>
      <c r="B240" s="58"/>
      <c r="C240" s="58"/>
      <c r="D240" s="58"/>
      <c r="E240" s="59"/>
      <c r="F240" s="60"/>
      <c r="G240" s="61">
        <f>Inventory_List_Table5[[#This Row],[سحب أيوب ]]*Inventory_List_Table5[[#This Row],[التكلفة]]</f>
        <v>0</v>
      </c>
      <c r="H240" s="37"/>
    </row>
    <row r="241" spans="1:8" ht="24" customHeight="1" thickTop="1" thickBot="1" x14ac:dyDescent="0.35">
      <c r="A241" s="46">
        <v>238</v>
      </c>
      <c r="B241" s="58"/>
      <c r="C241" s="58"/>
      <c r="D241" s="58"/>
      <c r="E241" s="59"/>
      <c r="F241" s="58"/>
      <c r="G241" s="62">
        <f>Inventory_List_Table5[[#This Row],[سحب أيوب ]]*Inventory_List_Table5[[#This Row],[التكلفة]]</f>
        <v>0</v>
      </c>
      <c r="H241" s="37"/>
    </row>
    <row r="242" spans="1:8" ht="24" customHeight="1" thickTop="1" thickBot="1" x14ac:dyDescent="0.35">
      <c r="A242" s="46">
        <v>239</v>
      </c>
      <c r="B242" s="58"/>
      <c r="C242" s="58"/>
      <c r="D242" s="58"/>
      <c r="E242" s="59"/>
      <c r="F242" s="58"/>
      <c r="G242" s="62">
        <f>Inventory_List_Table5[[#This Row],[سحب أيوب ]]*Inventory_List_Table5[[#This Row],[التكلفة]]</f>
        <v>0</v>
      </c>
      <c r="H242" s="37"/>
    </row>
    <row r="243" spans="1:8" ht="24" customHeight="1" thickTop="1" thickBot="1" x14ac:dyDescent="0.35">
      <c r="A243" s="46">
        <v>240</v>
      </c>
      <c r="B243" s="63"/>
      <c r="C243" s="63"/>
      <c r="D243" s="58"/>
      <c r="E243" s="59"/>
      <c r="F243" s="60"/>
      <c r="G243" s="61">
        <f>Inventory_List_Table5[[#This Row],[سحب أيوب ]]*Inventory_List_Table5[[#This Row],[التكلفة]]</f>
        <v>0</v>
      </c>
      <c r="H243" s="37"/>
    </row>
    <row r="244" spans="1:8" ht="24" customHeight="1" thickTop="1" thickBot="1" x14ac:dyDescent="0.35">
      <c r="A244" s="46">
        <v>241</v>
      </c>
      <c r="B244" s="63"/>
      <c r="C244" s="63"/>
      <c r="D244" s="58"/>
      <c r="E244" s="59"/>
      <c r="F244" s="60"/>
      <c r="G244" s="61">
        <f>Inventory_List_Table5[[#This Row],[سحب أيوب ]]*Inventory_List_Table5[[#This Row],[التكلفة]]</f>
        <v>0</v>
      </c>
      <c r="H244" s="37"/>
    </row>
    <row r="245" spans="1:8" ht="24" customHeight="1" thickTop="1" thickBot="1" x14ac:dyDescent="0.35">
      <c r="A245" s="46">
        <v>242</v>
      </c>
      <c r="B245" s="58"/>
      <c r="C245" s="58"/>
      <c r="D245" s="58"/>
      <c r="E245" s="59"/>
      <c r="F245" s="60"/>
      <c r="G245" s="61">
        <f>Inventory_List_Table5[[#This Row],[سحب أيوب ]]*Inventory_List_Table5[[#This Row],[التكلفة]]</f>
        <v>0</v>
      </c>
      <c r="H245" s="37"/>
    </row>
    <row r="246" spans="1:8" ht="24" customHeight="1" thickTop="1" thickBot="1" x14ac:dyDescent="0.35">
      <c r="A246" s="46">
        <v>243</v>
      </c>
      <c r="B246" s="58"/>
      <c r="C246" s="58"/>
      <c r="D246" s="58"/>
      <c r="E246" s="59"/>
      <c r="F246" s="60"/>
      <c r="G246" s="61">
        <f>Inventory_List_Table5[[#This Row],[سحب أيوب ]]*Inventory_List_Table5[[#This Row],[التكلفة]]</f>
        <v>0</v>
      </c>
      <c r="H246" s="37"/>
    </row>
    <row r="247" spans="1:8" ht="24" customHeight="1" thickTop="1" thickBot="1" x14ac:dyDescent="0.35">
      <c r="A247" s="46">
        <v>244</v>
      </c>
      <c r="B247" s="58"/>
      <c r="C247" s="58"/>
      <c r="D247" s="58"/>
      <c r="E247" s="59"/>
      <c r="F247" s="58"/>
      <c r="G247" s="62">
        <f>Inventory_List_Table5[[#This Row],[سحب أيوب ]]*Inventory_List_Table5[[#This Row],[التكلفة]]</f>
        <v>0</v>
      </c>
      <c r="H247" s="37"/>
    </row>
    <row r="248" spans="1:8" ht="24" customHeight="1" thickTop="1" thickBot="1" x14ac:dyDescent="0.35">
      <c r="A248" s="46">
        <v>245</v>
      </c>
      <c r="B248" s="58"/>
      <c r="C248" s="58"/>
      <c r="D248" s="58"/>
      <c r="E248" s="59"/>
      <c r="F248" s="58"/>
      <c r="G248" s="62">
        <f>Inventory_List_Table5[[#This Row],[سحب أيوب ]]*Inventory_List_Table5[[#This Row],[التكلفة]]</f>
        <v>0</v>
      </c>
      <c r="H248" s="37"/>
    </row>
    <row r="249" spans="1:8" ht="24" customHeight="1" thickTop="1" thickBot="1" x14ac:dyDescent="0.35">
      <c r="A249" s="46">
        <v>246</v>
      </c>
      <c r="B249" s="66"/>
      <c r="C249" s="58"/>
      <c r="D249" s="58"/>
      <c r="E249" s="59"/>
      <c r="F249" s="60"/>
      <c r="G249" s="61">
        <f>Inventory_List_Table5[[#This Row],[سحب أيوب ]]*Inventory_List_Table5[[#This Row],[التكلفة]]</f>
        <v>0</v>
      </c>
      <c r="H249" s="37"/>
    </row>
    <row r="250" spans="1:8" ht="24" customHeight="1" thickTop="1" thickBot="1" x14ac:dyDescent="0.35">
      <c r="A250" s="46">
        <v>247</v>
      </c>
      <c r="B250" s="67"/>
      <c r="C250" s="58"/>
      <c r="D250" s="58"/>
      <c r="E250" s="59"/>
      <c r="F250" s="58"/>
      <c r="G250" s="62">
        <f>Inventory_List_Table5[[#This Row],[سحب أيوب ]]*Inventory_List_Table5[[#This Row],[التكلفة]]</f>
        <v>0</v>
      </c>
      <c r="H250" s="37"/>
    </row>
    <row r="251" spans="1:8" ht="24" customHeight="1" thickTop="1" thickBot="1" x14ac:dyDescent="0.35">
      <c r="A251" s="46">
        <v>248</v>
      </c>
      <c r="B251" s="67"/>
      <c r="C251" s="58"/>
      <c r="D251" s="58"/>
      <c r="E251" s="59"/>
      <c r="F251" s="60"/>
      <c r="G251" s="61">
        <f>Inventory_List_Table5[[#This Row],[سحب أيوب ]]*Inventory_List_Table5[[#This Row],[التكلفة]]</f>
        <v>0</v>
      </c>
      <c r="H251" s="37"/>
    </row>
    <row r="252" spans="1:8" ht="24" customHeight="1" thickTop="1" thickBot="1" x14ac:dyDescent="0.35">
      <c r="A252" s="46">
        <v>249</v>
      </c>
      <c r="B252" s="44"/>
      <c r="C252" s="27"/>
      <c r="D252" s="23"/>
      <c r="E252" s="29"/>
      <c r="F252" s="30"/>
      <c r="G252" s="72">
        <f>Inventory_List_Table5[[#This Row],[سحب أيوب ]]*Inventory_List_Table5[[#This Row],[التكلفة]]</f>
        <v>0</v>
      </c>
      <c r="H252" s="37"/>
    </row>
    <row r="253" spans="1:8" ht="24" customHeight="1" thickTop="1" thickBot="1" x14ac:dyDescent="0.35">
      <c r="A253" s="46">
        <v>250</v>
      </c>
      <c r="B253" s="42"/>
      <c r="C253" s="22"/>
      <c r="D253" s="23"/>
      <c r="E253" s="24"/>
      <c r="F253" s="25"/>
      <c r="G253" s="25">
        <f>Inventory_List_Table5[[#This Row],[سحب أيوب ]]*Inventory_List_Table5[[#This Row],[التكلفة]]</f>
        <v>0</v>
      </c>
      <c r="H253" s="37"/>
    </row>
    <row r="254" spans="1:8" ht="24" customHeight="1" thickTop="1" thickBot="1" x14ac:dyDescent="0.35">
      <c r="A254" s="46">
        <v>251</v>
      </c>
      <c r="B254" s="44"/>
      <c r="C254" s="27"/>
      <c r="D254" s="23"/>
      <c r="E254" s="29"/>
      <c r="F254" s="30"/>
      <c r="G254" s="72">
        <f>Inventory_List_Table5[[#This Row],[سحب أيوب ]]*Inventory_List_Table5[[#This Row],[التكلفة]]</f>
        <v>0</v>
      </c>
      <c r="H254" s="37"/>
    </row>
    <row r="255" spans="1:8" ht="24" customHeight="1" thickTop="1" thickBot="1" x14ac:dyDescent="0.35">
      <c r="A255" s="46">
        <v>252</v>
      </c>
      <c r="B255" s="42"/>
      <c r="C255" s="22"/>
      <c r="D255" s="23"/>
      <c r="E255" s="24"/>
      <c r="F255" s="25"/>
      <c r="G255" s="25">
        <f>Inventory_List_Table5[[#This Row],[سحب أيوب ]]*Inventory_List_Table5[[#This Row],[التكلفة]]</f>
        <v>0</v>
      </c>
      <c r="H255" s="37"/>
    </row>
    <row r="256" spans="1:8" ht="24" customHeight="1" thickTop="1" thickBot="1" x14ac:dyDescent="0.35">
      <c r="A256" s="46">
        <v>253</v>
      </c>
      <c r="B256" s="42"/>
      <c r="C256" s="22"/>
      <c r="D256" s="23"/>
      <c r="E256" s="24"/>
      <c r="F256" s="25"/>
      <c r="G256" s="25">
        <f>Inventory_List_Table5[[#This Row],[سحب أيوب ]]*Inventory_List_Table5[[#This Row],[التكلفة]]</f>
        <v>0</v>
      </c>
      <c r="H256" s="37"/>
    </row>
    <row r="257" spans="1:8" ht="24" customHeight="1" thickTop="1" thickBot="1" x14ac:dyDescent="0.35">
      <c r="A257" s="46">
        <v>254</v>
      </c>
      <c r="B257" s="42"/>
      <c r="C257" s="22"/>
      <c r="D257" s="23"/>
      <c r="E257" s="22"/>
      <c r="F257" s="26"/>
      <c r="G257" s="25">
        <f>Inventory_List_Table5[[#This Row],[سحب أيوب ]]*Inventory_List_Table5[[#This Row],[التكلفة]]</f>
        <v>0</v>
      </c>
      <c r="H257" s="37"/>
    </row>
    <row r="258" spans="1:8" ht="24" customHeight="1" thickTop="1" thickBot="1" x14ac:dyDescent="0.35">
      <c r="A258" s="46">
        <v>255</v>
      </c>
      <c r="B258" s="42"/>
      <c r="C258" s="22"/>
      <c r="D258" s="23"/>
      <c r="E258" s="22"/>
      <c r="F258" s="28"/>
      <c r="G258" s="25">
        <f>Inventory_List_Table5[[#This Row],[سحب أيوب ]]*Inventory_List_Table5[[#This Row],[التكلفة]]</f>
        <v>0</v>
      </c>
      <c r="H258" s="37"/>
    </row>
    <row r="259" spans="1:8" ht="24" customHeight="1" thickTop="1" thickBot="1" x14ac:dyDescent="0.35">
      <c r="A259" s="46">
        <v>256</v>
      </c>
      <c r="B259" s="42"/>
      <c r="C259" s="22"/>
      <c r="D259" s="23"/>
      <c r="E259" s="22"/>
      <c r="F259" s="28"/>
      <c r="G259" s="25">
        <f>Inventory_List_Table5[[#This Row],[سحب أيوب ]]*Inventory_List_Table5[[#This Row],[التكلفة]]</f>
        <v>0</v>
      </c>
      <c r="H259" s="37"/>
    </row>
    <row r="260" spans="1:8" ht="24" customHeight="1" thickTop="1" thickBot="1" x14ac:dyDescent="0.35">
      <c r="A260" s="46">
        <v>257</v>
      </c>
      <c r="B260" s="44"/>
      <c r="C260" s="27"/>
      <c r="D260" s="23"/>
      <c r="E260" s="29"/>
      <c r="F260" s="30"/>
      <c r="G260" s="72">
        <f>Inventory_List_Table5[[#This Row],[سحب أيوب ]]*Inventory_List_Table5[[#This Row],[التكلفة]]</f>
        <v>0</v>
      </c>
      <c r="H260" s="37"/>
    </row>
    <row r="261" spans="1:8" ht="24" customHeight="1" thickTop="1" thickBot="1" x14ac:dyDescent="0.35">
      <c r="A261" s="46">
        <v>258</v>
      </c>
      <c r="B261" s="42"/>
      <c r="C261" s="22"/>
      <c r="D261" s="23"/>
      <c r="E261" s="27"/>
      <c r="F261" s="28"/>
      <c r="G261" s="25">
        <f>Inventory_List_Table5[[#This Row],[سحب أيوب ]]*Inventory_List_Table5[[#This Row],[التكلفة]]</f>
        <v>0</v>
      </c>
      <c r="H261" s="37"/>
    </row>
    <row r="262" spans="1:8" ht="24" customHeight="1" thickTop="1" thickBot="1" x14ac:dyDescent="0.35">
      <c r="A262" s="46">
        <v>259</v>
      </c>
      <c r="B262" s="42"/>
      <c r="C262" s="22"/>
      <c r="D262" s="23"/>
      <c r="E262" s="22"/>
      <c r="F262" s="28"/>
      <c r="G262" s="25">
        <f>Inventory_List_Table5[[#This Row],[سحب أيوب ]]*Inventory_List_Table5[[#This Row],[التكلفة]]</f>
        <v>0</v>
      </c>
      <c r="H262" s="37"/>
    </row>
    <row r="263" spans="1:8" ht="24" customHeight="1" thickTop="1" thickBot="1" x14ac:dyDescent="0.35">
      <c r="A263" s="46">
        <v>260</v>
      </c>
      <c r="B263" s="42"/>
      <c r="C263" s="22"/>
      <c r="D263" s="23"/>
      <c r="E263" s="27"/>
      <c r="F263" s="28"/>
      <c r="G263" s="25">
        <f>Inventory_List_Table5[[#This Row],[سحب أيوب ]]*Inventory_List_Table5[[#This Row],[التكلفة]]</f>
        <v>0</v>
      </c>
      <c r="H263" s="37"/>
    </row>
    <row r="264" spans="1:8" ht="24" customHeight="1" thickTop="1" thickBot="1" x14ac:dyDescent="0.35">
      <c r="A264" s="46">
        <v>261</v>
      </c>
      <c r="B264" s="44"/>
      <c r="C264" s="27"/>
      <c r="D264" s="23"/>
      <c r="E264" s="29"/>
      <c r="F264" s="30"/>
      <c r="G264" s="72">
        <f>Inventory_List_Table5[[#This Row],[سحب أيوب ]]*Inventory_List_Table5[[#This Row],[التكلفة]]</f>
        <v>0</v>
      </c>
      <c r="H264" s="37"/>
    </row>
    <row r="265" spans="1:8" ht="24" customHeight="1" thickTop="1" thickBot="1" x14ac:dyDescent="0.35">
      <c r="A265" s="46">
        <v>262</v>
      </c>
      <c r="B265" s="44"/>
      <c r="C265" s="27"/>
      <c r="D265" s="23"/>
      <c r="E265" s="24"/>
      <c r="F265" s="28"/>
      <c r="G265" s="25">
        <f>Inventory_List_Table5[[#This Row],[سحب أيوب ]]*Inventory_List_Table5[[#This Row],[التكلفة]]</f>
        <v>0</v>
      </c>
      <c r="H265" s="37"/>
    </row>
    <row r="266" spans="1:8" ht="24" customHeight="1" thickTop="1" thickBot="1" x14ac:dyDescent="0.35">
      <c r="A266" s="46">
        <v>263</v>
      </c>
      <c r="B266" s="44"/>
      <c r="C266" s="27"/>
      <c r="D266" s="23"/>
      <c r="E266" s="24"/>
      <c r="F266" s="28"/>
      <c r="G266" s="25">
        <f>Inventory_List_Table5[[#This Row],[سحب أيوب ]]*Inventory_List_Table5[[#This Row],[التكلفة]]</f>
        <v>0</v>
      </c>
      <c r="H266" s="37"/>
    </row>
    <row r="267" spans="1:8" ht="24" customHeight="1" thickTop="1" thickBot="1" x14ac:dyDescent="0.35">
      <c r="A267" s="46">
        <v>264</v>
      </c>
      <c r="B267" s="44"/>
      <c r="C267" s="27"/>
      <c r="D267" s="23"/>
      <c r="E267" s="24"/>
      <c r="F267" s="28"/>
      <c r="G267" s="25">
        <f>Inventory_List_Table5[[#This Row],[سحب أيوب ]]*Inventory_List_Table5[[#This Row],[التكلفة]]</f>
        <v>0</v>
      </c>
      <c r="H267" s="37"/>
    </row>
    <row r="268" spans="1:8" ht="24" customHeight="1" thickTop="1" thickBot="1" x14ac:dyDescent="0.35">
      <c r="A268" s="46">
        <v>265</v>
      </c>
      <c r="B268" s="42"/>
      <c r="C268" s="22"/>
      <c r="D268" s="23"/>
      <c r="E268" s="27"/>
      <c r="F268" s="28"/>
      <c r="G268" s="28">
        <f>Inventory_List_Table5[[#This Row],[سحب أيوب ]]*Inventory_List_Table5[[#This Row],[التكلفة]]</f>
        <v>0</v>
      </c>
      <c r="H268" s="37"/>
    </row>
    <row r="269" spans="1:8" ht="24" customHeight="1" thickTop="1" thickBot="1" x14ac:dyDescent="0.35">
      <c r="A269" s="46">
        <v>266</v>
      </c>
      <c r="B269" s="42"/>
      <c r="C269" s="22"/>
      <c r="D269" s="23"/>
      <c r="E269" s="22"/>
      <c r="F269" s="28"/>
      <c r="G269" s="28">
        <f>Inventory_List_Table5[[#This Row],[سحب أيوب ]]*Inventory_List_Table5[[#This Row],[التكلفة]]</f>
        <v>0</v>
      </c>
      <c r="H269" s="37"/>
    </row>
    <row r="270" spans="1:8" ht="24" customHeight="1" thickTop="1" thickBot="1" x14ac:dyDescent="0.35">
      <c r="A270" s="46">
        <v>267</v>
      </c>
      <c r="B270" s="44"/>
      <c r="C270" s="27"/>
      <c r="D270" s="23"/>
      <c r="E270" s="29"/>
      <c r="F270" s="30"/>
      <c r="G270" s="72">
        <f>Inventory_List_Table5[[#This Row],[سحب أيوب ]]*Inventory_List_Table5[[#This Row],[التكلفة]]</f>
        <v>0</v>
      </c>
      <c r="H270" s="37"/>
    </row>
    <row r="271" spans="1:8" ht="24" customHeight="1" thickTop="1" thickBot="1" x14ac:dyDescent="0.35">
      <c r="A271" s="46">
        <v>268</v>
      </c>
      <c r="B271" s="44"/>
      <c r="C271" s="27"/>
      <c r="D271" s="23"/>
      <c r="E271" s="24"/>
      <c r="F271" s="28"/>
      <c r="G271" s="25">
        <f>Inventory_List_Table5[[#This Row],[سحب أيوب ]]*Inventory_List_Table5[[#This Row],[التكلفة]]</f>
        <v>0</v>
      </c>
      <c r="H271" s="37"/>
    </row>
    <row r="272" spans="1:8" ht="24" customHeight="1" thickTop="1" thickBot="1" x14ac:dyDescent="0.35">
      <c r="A272" s="46">
        <v>269</v>
      </c>
      <c r="B272" s="44"/>
      <c r="C272" s="27"/>
      <c r="D272" s="23"/>
      <c r="E272" s="24"/>
      <c r="F272" s="28"/>
      <c r="G272" s="25">
        <f>Inventory_List_Table5[[#This Row],[سحب أيوب ]]*Inventory_List_Table5[[#This Row],[التكلفة]]</f>
        <v>0</v>
      </c>
      <c r="H272" s="37"/>
    </row>
    <row r="273" spans="1:8" ht="24" customHeight="1" thickTop="1" thickBot="1" x14ac:dyDescent="0.35">
      <c r="A273" s="46">
        <v>270</v>
      </c>
      <c r="B273" s="44"/>
      <c r="C273" s="27"/>
      <c r="D273" s="23"/>
      <c r="E273" s="29"/>
      <c r="F273" s="30"/>
      <c r="G273" s="72">
        <f>Inventory_List_Table5[[#This Row],[سحب أيوب ]]*Inventory_List_Table5[[#This Row],[التكلفة]]</f>
        <v>0</v>
      </c>
      <c r="H273" s="37"/>
    </row>
    <row r="274" spans="1:8" ht="24" customHeight="1" thickTop="1" thickBot="1" x14ac:dyDescent="0.35">
      <c r="A274" s="46">
        <v>271</v>
      </c>
      <c r="B274" s="42"/>
      <c r="C274" s="22"/>
      <c r="D274" s="23"/>
      <c r="E274" s="22"/>
      <c r="F274" s="26"/>
      <c r="G274" s="25">
        <f>Inventory_List_Table5[[#This Row],[سحب أيوب ]]*Inventory_List_Table5[[#This Row],[التكلفة]]</f>
        <v>0</v>
      </c>
      <c r="H274" s="37"/>
    </row>
    <row r="275" spans="1:8" ht="24" customHeight="1" thickTop="1" thickBot="1" x14ac:dyDescent="0.35">
      <c r="A275" s="46">
        <v>272</v>
      </c>
      <c r="B275" s="44"/>
      <c r="C275" s="27"/>
      <c r="D275" s="23"/>
      <c r="E275" s="29"/>
      <c r="F275" s="30"/>
      <c r="G275" s="72">
        <f>Inventory_List_Table5[[#This Row],[سحب أيوب ]]*Inventory_List_Table5[[#This Row],[التكلفة]]</f>
        <v>0</v>
      </c>
      <c r="H275" s="37"/>
    </row>
    <row r="276" spans="1:8" ht="24" customHeight="1" thickTop="1" thickBot="1" x14ac:dyDescent="0.35">
      <c r="A276" s="46">
        <v>273</v>
      </c>
      <c r="B276" s="44"/>
      <c r="C276" s="27"/>
      <c r="D276" s="23"/>
      <c r="E276" s="29"/>
      <c r="F276" s="30"/>
      <c r="G276" s="72">
        <f>Inventory_List_Table5[[#This Row],[سحب أيوب ]]*Inventory_List_Table5[[#This Row],[التكلفة]]</f>
        <v>0</v>
      </c>
      <c r="H276" s="37"/>
    </row>
    <row r="277" spans="1:8" ht="24" customHeight="1" thickTop="1" thickBot="1" x14ac:dyDescent="0.35">
      <c r="A277" s="46">
        <v>274</v>
      </c>
      <c r="B277" s="44"/>
      <c r="C277" s="27"/>
      <c r="D277" s="23"/>
      <c r="E277" s="24"/>
      <c r="F277" s="28"/>
      <c r="G277" s="25">
        <f>Inventory_List_Table5[[#This Row],[سحب أيوب ]]*Inventory_List_Table5[[#This Row],[التكلفة]]</f>
        <v>0</v>
      </c>
      <c r="H277" s="37"/>
    </row>
    <row r="278" spans="1:8" ht="24" customHeight="1" thickTop="1" thickBot="1" x14ac:dyDescent="0.35">
      <c r="A278" s="46">
        <v>275</v>
      </c>
      <c r="B278" s="44"/>
      <c r="C278" s="27"/>
      <c r="D278" s="23"/>
      <c r="E278" s="29"/>
      <c r="F278" s="30"/>
      <c r="G278" s="72">
        <f>Inventory_List_Table5[[#This Row],[سحب أيوب ]]*Inventory_List_Table5[[#This Row],[التكلفة]]</f>
        <v>0</v>
      </c>
      <c r="H278" s="37"/>
    </row>
    <row r="279" spans="1:8" ht="24" customHeight="1" thickTop="1" thickBot="1" x14ac:dyDescent="0.35">
      <c r="A279" s="46">
        <v>276</v>
      </c>
      <c r="B279" s="44"/>
      <c r="C279" s="27"/>
      <c r="D279" s="23"/>
      <c r="E279" s="29"/>
      <c r="F279" s="30"/>
      <c r="G279" s="72">
        <f>Inventory_List_Table5[[#This Row],[سحب أيوب ]]*Inventory_List_Table5[[#This Row],[التكلفة]]</f>
        <v>0</v>
      </c>
      <c r="H279" s="37"/>
    </row>
    <row r="280" spans="1:8" ht="24" customHeight="1" thickTop="1" thickBot="1" x14ac:dyDescent="0.35">
      <c r="A280" s="46">
        <v>277</v>
      </c>
      <c r="B280" s="44"/>
      <c r="C280" s="27"/>
      <c r="D280" s="23"/>
      <c r="E280" s="24"/>
      <c r="F280" s="28"/>
      <c r="G280" s="25">
        <f>Inventory_List_Table5[[#This Row],[سحب أيوب ]]*Inventory_List_Table5[[#This Row],[التكلفة]]</f>
        <v>0</v>
      </c>
      <c r="H280" s="37"/>
    </row>
    <row r="281" spans="1:8" ht="24" customHeight="1" thickTop="1" thickBot="1" x14ac:dyDescent="0.35">
      <c r="A281" s="46">
        <v>278</v>
      </c>
      <c r="B281" s="44"/>
      <c r="C281" s="27"/>
      <c r="D281" s="23"/>
      <c r="E281" s="29"/>
      <c r="F281" s="30"/>
      <c r="G281" s="72">
        <f>Inventory_List_Table5[[#This Row],[سحب أيوب ]]*Inventory_List_Table5[[#This Row],[التكلفة]]</f>
        <v>0</v>
      </c>
      <c r="H281" s="37"/>
    </row>
    <row r="282" spans="1:8" ht="24" customHeight="1" thickTop="1" thickBot="1" x14ac:dyDescent="0.35">
      <c r="A282" s="46">
        <v>279</v>
      </c>
      <c r="B282" s="44"/>
      <c r="C282" s="27"/>
      <c r="D282" s="23"/>
      <c r="E282" s="24"/>
      <c r="F282" s="28"/>
      <c r="G282" s="25">
        <f>Inventory_List_Table5[[#This Row],[سحب أيوب ]]*Inventory_List_Table5[[#This Row],[التكلفة]]</f>
        <v>0</v>
      </c>
      <c r="H282" s="37"/>
    </row>
    <row r="283" spans="1:8" ht="24" customHeight="1" thickTop="1" thickBot="1" x14ac:dyDescent="0.35">
      <c r="A283" s="46">
        <v>280</v>
      </c>
      <c r="B283" s="44"/>
      <c r="C283" s="27"/>
      <c r="D283" s="23"/>
      <c r="E283" s="29"/>
      <c r="F283" s="30"/>
      <c r="G283" s="72">
        <f>Inventory_List_Table5[[#This Row],[سحب أيوب ]]*Inventory_List_Table5[[#This Row],[التكلفة]]</f>
        <v>0</v>
      </c>
      <c r="H283" s="37"/>
    </row>
    <row r="284" spans="1:8" ht="24" customHeight="1" thickTop="1" thickBot="1" x14ac:dyDescent="0.35">
      <c r="A284" s="46">
        <v>281</v>
      </c>
      <c r="B284" s="44"/>
      <c r="C284" s="27"/>
      <c r="D284" s="23"/>
      <c r="E284" s="24"/>
      <c r="F284" s="28"/>
      <c r="G284" s="25">
        <f>Inventory_List_Table5[[#This Row],[سحب أيوب ]]*Inventory_List_Table5[[#This Row],[التكلفة]]</f>
        <v>0</v>
      </c>
      <c r="H284" s="37"/>
    </row>
    <row r="285" spans="1:8" ht="24" customHeight="1" thickTop="1" thickBot="1" x14ac:dyDescent="0.35">
      <c r="A285" s="46">
        <v>282</v>
      </c>
      <c r="B285" s="44"/>
      <c r="C285" s="27"/>
      <c r="D285" s="23"/>
      <c r="E285" s="29"/>
      <c r="F285" s="30"/>
      <c r="G285" s="72">
        <f>Inventory_List_Table5[[#This Row],[سحب أيوب ]]*Inventory_List_Table5[[#This Row],[التكلفة]]</f>
        <v>0</v>
      </c>
      <c r="H285" s="37"/>
    </row>
    <row r="286" spans="1:8" ht="24" customHeight="1" thickTop="1" thickBot="1" x14ac:dyDescent="0.35">
      <c r="A286" s="46">
        <v>283</v>
      </c>
      <c r="B286" s="44"/>
      <c r="C286" s="27"/>
      <c r="D286" s="23"/>
      <c r="E286" s="24"/>
      <c r="F286" s="28"/>
      <c r="G286" s="25">
        <f>Inventory_List_Table5[[#This Row],[سحب أيوب ]]*Inventory_List_Table5[[#This Row],[التكلفة]]</f>
        <v>0</v>
      </c>
      <c r="H286" s="37"/>
    </row>
    <row r="287" spans="1:8" ht="24" customHeight="1" thickTop="1" thickBot="1" x14ac:dyDescent="0.35">
      <c r="A287" s="46">
        <v>284</v>
      </c>
      <c r="B287" s="44"/>
      <c r="C287" s="27"/>
      <c r="D287" s="23"/>
      <c r="E287" s="24"/>
      <c r="F287" s="28"/>
      <c r="G287" s="25">
        <f>Inventory_List_Table5[[#This Row],[سحب أيوب ]]*Inventory_List_Table5[[#This Row],[التكلفة]]</f>
        <v>0</v>
      </c>
      <c r="H287" s="37"/>
    </row>
    <row r="288" spans="1:8" ht="24" customHeight="1" thickTop="1" thickBot="1" x14ac:dyDescent="0.35">
      <c r="A288" s="46">
        <v>285</v>
      </c>
      <c r="B288" s="44"/>
      <c r="C288" s="27"/>
      <c r="D288" s="23"/>
      <c r="E288" s="29"/>
      <c r="F288" s="30"/>
      <c r="G288" s="72">
        <f>Inventory_List_Table5[[#This Row],[سحب أيوب ]]*Inventory_List_Table5[[#This Row],[التكلفة]]</f>
        <v>0</v>
      </c>
      <c r="H288" s="37"/>
    </row>
    <row r="289" spans="1:8" ht="24" customHeight="1" thickTop="1" thickBot="1" x14ac:dyDescent="0.35">
      <c r="A289" s="46">
        <v>286</v>
      </c>
      <c r="B289" s="42"/>
      <c r="C289" s="22"/>
      <c r="D289" s="23"/>
      <c r="E289" s="22"/>
      <c r="F289" s="28"/>
      <c r="G289" s="28">
        <f>Inventory_List_Table5[[#This Row],[سحب أيوب ]]*Inventory_List_Table5[[#This Row],[التكلفة]]</f>
        <v>0</v>
      </c>
      <c r="H289" s="37"/>
    </row>
    <row r="290" spans="1:8" ht="24" customHeight="1" thickTop="1" thickBot="1" x14ac:dyDescent="0.35">
      <c r="A290" s="46">
        <v>287</v>
      </c>
      <c r="B290" s="42"/>
      <c r="C290" s="22"/>
      <c r="D290" s="23"/>
      <c r="E290" s="22"/>
      <c r="F290" s="28"/>
      <c r="G290" s="28">
        <f>Inventory_List_Table5[[#This Row],[سحب أيوب ]]*Inventory_List_Table5[[#This Row],[التكلفة]]</f>
        <v>0</v>
      </c>
      <c r="H290" s="37"/>
    </row>
    <row r="291" spans="1:8" ht="24" customHeight="1" thickTop="1" thickBot="1" x14ac:dyDescent="0.35">
      <c r="A291" s="46">
        <v>288</v>
      </c>
      <c r="B291" s="42"/>
      <c r="C291" s="22"/>
      <c r="D291" s="23"/>
      <c r="E291" s="27"/>
      <c r="F291" s="28"/>
      <c r="G291" s="25">
        <f>Inventory_List_Table5[[#This Row],[سحب أيوب ]]*Inventory_List_Table5[[#This Row],[التكلفة]]</f>
        <v>0</v>
      </c>
      <c r="H291" s="37"/>
    </row>
    <row r="292" spans="1:8" ht="24" customHeight="1" thickTop="1" thickBot="1" x14ac:dyDescent="0.35">
      <c r="A292" s="46">
        <v>289</v>
      </c>
      <c r="B292" s="42"/>
      <c r="C292" s="22"/>
      <c r="D292" s="23"/>
      <c r="E292" s="27"/>
      <c r="F292" s="28"/>
      <c r="G292" s="25">
        <f>Inventory_List_Table5[[#This Row],[سحب أيوب ]]*Inventory_List_Table5[[#This Row],[التكلفة]]</f>
        <v>0</v>
      </c>
      <c r="H292" s="37"/>
    </row>
    <row r="293" spans="1:8" ht="24" customHeight="1" thickTop="1" thickBot="1" x14ac:dyDescent="0.35">
      <c r="A293" s="46">
        <v>290</v>
      </c>
      <c r="B293" s="42"/>
      <c r="C293" s="22"/>
      <c r="D293" s="23"/>
      <c r="E293" s="27"/>
      <c r="F293" s="28"/>
      <c r="G293" s="25">
        <f>Inventory_List_Table5[[#This Row],[سحب أيوب ]]*Inventory_List_Table5[[#This Row],[التكلفة]]</f>
        <v>0</v>
      </c>
      <c r="H293" s="37"/>
    </row>
    <row r="294" spans="1:8" ht="24" customHeight="1" thickTop="1" thickBot="1" x14ac:dyDescent="0.35">
      <c r="A294" s="46">
        <v>291</v>
      </c>
      <c r="B294" s="42"/>
      <c r="C294" s="22"/>
      <c r="D294" s="23"/>
      <c r="E294" s="27"/>
      <c r="F294" s="28"/>
      <c r="G294" s="25">
        <f>Inventory_List_Table5[[#This Row],[سحب أيوب ]]*Inventory_List_Table5[[#This Row],[التكلفة]]</f>
        <v>0</v>
      </c>
      <c r="H294" s="37"/>
    </row>
    <row r="295" spans="1:8" ht="24" customHeight="1" thickTop="1" thickBot="1" x14ac:dyDescent="0.35">
      <c r="A295" s="46">
        <v>292</v>
      </c>
      <c r="B295" s="42"/>
      <c r="C295" s="22"/>
      <c r="D295" s="23"/>
      <c r="E295" s="22"/>
      <c r="F295" s="26"/>
      <c r="G295" s="25">
        <f>Inventory_List_Table5[[#This Row],[سحب أيوب ]]*Inventory_List_Table5[[#This Row],[التكلفة]]</f>
        <v>0</v>
      </c>
      <c r="H295" s="37"/>
    </row>
    <row r="296" spans="1:8" ht="24" customHeight="1" thickTop="1" thickBot="1" x14ac:dyDescent="0.35">
      <c r="A296" s="46">
        <v>293</v>
      </c>
      <c r="B296" s="44"/>
      <c r="C296" s="27"/>
      <c r="D296" s="23"/>
      <c r="E296" s="29"/>
      <c r="F296" s="30"/>
      <c r="G296" s="72">
        <f>Inventory_List_Table5[[#This Row],[سحب أيوب ]]*Inventory_List_Table5[[#This Row],[التكلفة]]</f>
        <v>0</v>
      </c>
      <c r="H296" s="37"/>
    </row>
    <row r="297" spans="1:8" ht="24" customHeight="1" thickTop="1" thickBot="1" x14ac:dyDescent="0.35">
      <c r="A297" s="46">
        <v>294</v>
      </c>
      <c r="B297" s="44"/>
      <c r="C297" s="27"/>
      <c r="D297" s="23"/>
      <c r="E297" s="24"/>
      <c r="F297" s="28"/>
      <c r="G297" s="25">
        <f>Inventory_List_Table5[[#This Row],[سحب أيوب ]]*Inventory_List_Table5[[#This Row],[التكلفة]]</f>
        <v>0</v>
      </c>
      <c r="H297" s="37"/>
    </row>
    <row r="298" spans="1:8" ht="24" customHeight="1" thickTop="1" thickBot="1" x14ac:dyDescent="0.35">
      <c r="A298" s="46">
        <v>295</v>
      </c>
      <c r="B298" s="44"/>
      <c r="C298" s="27"/>
      <c r="D298" s="23"/>
      <c r="E298" s="29"/>
      <c r="F298" s="30"/>
      <c r="G298" s="72">
        <f>Inventory_List_Table5[[#This Row],[سحب أيوب ]]*Inventory_List_Table5[[#This Row],[التكلفة]]</f>
        <v>0</v>
      </c>
      <c r="H298" s="37"/>
    </row>
    <row r="299" spans="1:8" ht="24" customHeight="1" thickTop="1" thickBot="1" x14ac:dyDescent="0.35">
      <c r="A299" s="46">
        <v>296</v>
      </c>
      <c r="B299" s="42"/>
      <c r="C299" s="22"/>
      <c r="D299" s="23"/>
      <c r="E299" s="27"/>
      <c r="F299" s="28"/>
      <c r="G299" s="25">
        <f>Inventory_List_Table5[[#This Row],[سحب أيوب ]]*Inventory_List_Table5[[#This Row],[التكلفة]]</f>
        <v>0</v>
      </c>
      <c r="H299" s="37"/>
    </row>
    <row r="300" spans="1:8" ht="24" customHeight="1" thickTop="1" thickBot="1" x14ac:dyDescent="0.35">
      <c r="A300" s="46">
        <v>297</v>
      </c>
      <c r="B300" s="44"/>
      <c r="C300" s="27"/>
      <c r="D300" s="23"/>
      <c r="E300" s="24"/>
      <c r="F300" s="28"/>
      <c r="G300" s="25">
        <f>Inventory_List_Table5[[#This Row],[سحب أيوب ]]*Inventory_List_Table5[[#This Row],[التكلفة]]</f>
        <v>0</v>
      </c>
      <c r="H300" s="37"/>
    </row>
    <row r="301" spans="1:8" ht="24" customHeight="1" thickTop="1" thickBot="1" x14ac:dyDescent="0.35">
      <c r="A301" s="46">
        <v>298</v>
      </c>
      <c r="B301" s="42"/>
      <c r="C301" s="22"/>
      <c r="D301" s="23"/>
      <c r="E301" s="27"/>
      <c r="F301" s="28"/>
      <c r="G301" s="25">
        <f>Inventory_List_Table5[[#This Row],[سحب أيوب ]]*Inventory_List_Table5[[#This Row],[التكلفة]]</f>
        <v>0</v>
      </c>
      <c r="H301" s="37"/>
    </row>
    <row r="302" spans="1:8" ht="24" customHeight="1" thickTop="1" thickBot="1" x14ac:dyDescent="0.35">
      <c r="A302" s="46">
        <v>299</v>
      </c>
      <c r="B302" s="44"/>
      <c r="C302" s="27"/>
      <c r="D302" s="23"/>
      <c r="E302" s="24"/>
      <c r="F302" s="28"/>
      <c r="G302" s="25">
        <f>Inventory_List_Table5[[#This Row],[سحب أيوب ]]*Inventory_List_Table5[[#This Row],[التكلفة]]</f>
        <v>0</v>
      </c>
      <c r="H302" s="37"/>
    </row>
    <row r="303" spans="1:8" ht="24" customHeight="1" thickTop="1" thickBot="1" x14ac:dyDescent="0.35">
      <c r="A303" s="46">
        <v>300</v>
      </c>
      <c r="B303" s="44"/>
      <c r="C303" s="27"/>
      <c r="D303" s="23"/>
      <c r="E303" s="29"/>
      <c r="F303" s="30"/>
      <c r="G303" s="72">
        <f>Inventory_List_Table5[[#This Row],[سحب أيوب ]]*Inventory_List_Table5[[#This Row],[التكلفة]]</f>
        <v>0</v>
      </c>
      <c r="H303" s="37"/>
    </row>
    <row r="304" spans="1:8" ht="24" customHeight="1" thickTop="1" thickBot="1" x14ac:dyDescent="0.35">
      <c r="A304" s="46">
        <v>301</v>
      </c>
      <c r="B304" s="44"/>
      <c r="C304" s="27"/>
      <c r="D304" s="23"/>
      <c r="E304" s="29"/>
      <c r="F304" s="30"/>
      <c r="G304" s="72">
        <f>Inventory_List_Table5[[#This Row],[سحب أيوب ]]*Inventory_List_Table5[[#This Row],[التكلفة]]</f>
        <v>0</v>
      </c>
      <c r="H304" s="37"/>
    </row>
    <row r="305" spans="1:8" ht="24" customHeight="1" thickTop="1" thickBot="1" x14ac:dyDescent="0.35">
      <c r="A305" s="46">
        <v>302</v>
      </c>
      <c r="B305" s="44"/>
      <c r="C305" s="27"/>
      <c r="D305" s="23"/>
      <c r="E305" s="29"/>
      <c r="F305" s="30"/>
      <c r="G305" s="72">
        <f>Inventory_List_Table5[[#This Row],[سحب أيوب ]]*Inventory_List_Table5[[#This Row],[التكلفة]]</f>
        <v>0</v>
      </c>
      <c r="H305" s="37"/>
    </row>
    <row r="306" spans="1:8" ht="24" customHeight="1" thickTop="1" thickBot="1" x14ac:dyDescent="0.35">
      <c r="A306" s="46">
        <v>303</v>
      </c>
      <c r="B306" s="44"/>
      <c r="C306" s="27"/>
      <c r="D306" s="23"/>
      <c r="E306" s="24"/>
      <c r="F306" s="28"/>
      <c r="G306" s="25">
        <f>Inventory_List_Table5[[#This Row],[سحب أيوب ]]*Inventory_List_Table5[[#This Row],[التكلفة]]</f>
        <v>0</v>
      </c>
      <c r="H306" s="37"/>
    </row>
    <row r="307" spans="1:8" ht="24" customHeight="1" thickTop="1" thickBot="1" x14ac:dyDescent="0.35">
      <c r="A307" s="46">
        <v>304</v>
      </c>
      <c r="B307" s="44"/>
      <c r="C307" s="27"/>
      <c r="D307" s="23"/>
      <c r="E307" s="29"/>
      <c r="F307" s="30"/>
      <c r="G307" s="72">
        <f>Inventory_List_Table5[[#This Row],[سحب أيوب ]]*Inventory_List_Table5[[#This Row],[التكلفة]]</f>
        <v>0</v>
      </c>
      <c r="H307" s="37"/>
    </row>
    <row r="308" spans="1:8" ht="24" customHeight="1" thickTop="1" thickBot="1" x14ac:dyDescent="0.35">
      <c r="A308" s="46">
        <v>305</v>
      </c>
      <c r="B308" s="44"/>
      <c r="C308" s="27"/>
      <c r="D308" s="23"/>
      <c r="E308" s="24"/>
      <c r="F308" s="28"/>
      <c r="G308" s="25">
        <f>Inventory_List_Table5[[#This Row],[سحب أيوب ]]*Inventory_List_Table5[[#This Row],[التكلفة]]</f>
        <v>0</v>
      </c>
      <c r="H308" s="37"/>
    </row>
    <row r="309" spans="1:8" ht="24" customHeight="1" thickTop="1" thickBot="1" x14ac:dyDescent="0.35">
      <c r="A309" s="46">
        <v>306</v>
      </c>
      <c r="B309" s="44"/>
      <c r="C309" s="27"/>
      <c r="D309" s="23"/>
      <c r="E309" s="24"/>
      <c r="F309" s="28"/>
      <c r="G309" s="25">
        <f>Inventory_List_Table5[[#This Row],[سحب أيوب ]]*Inventory_List_Table5[[#This Row],[التكلفة]]</f>
        <v>0</v>
      </c>
      <c r="H309" s="37"/>
    </row>
    <row r="310" spans="1:8" ht="24" customHeight="1" thickTop="1" thickBot="1" x14ac:dyDescent="0.35">
      <c r="A310" s="46">
        <v>307</v>
      </c>
      <c r="B310" s="44"/>
      <c r="C310" s="27"/>
      <c r="D310" s="23"/>
      <c r="E310" s="29"/>
      <c r="F310" s="30"/>
      <c r="G310" s="72">
        <f>Inventory_List_Table5[[#This Row],[سحب أيوب ]]*Inventory_List_Table5[[#This Row],[التكلفة]]</f>
        <v>0</v>
      </c>
      <c r="H310" s="37"/>
    </row>
    <row r="311" spans="1:8" ht="24" customHeight="1" thickTop="1" thickBot="1" x14ac:dyDescent="0.35">
      <c r="A311" s="46">
        <v>308</v>
      </c>
      <c r="B311" s="44"/>
      <c r="C311" s="27"/>
      <c r="D311" s="23"/>
      <c r="E311" s="24"/>
      <c r="F311" s="28"/>
      <c r="G311" s="25">
        <f>Inventory_List_Table5[[#This Row],[سحب أيوب ]]*Inventory_List_Table5[[#This Row],[التكلفة]]</f>
        <v>0</v>
      </c>
      <c r="H311" s="37"/>
    </row>
    <row r="312" spans="1:8" ht="24" customHeight="1" thickTop="1" thickBot="1" x14ac:dyDescent="0.35">
      <c r="A312" s="46">
        <v>309</v>
      </c>
      <c r="B312" s="44"/>
      <c r="C312" s="27"/>
      <c r="D312" s="23"/>
      <c r="E312" s="24"/>
      <c r="F312" s="28"/>
      <c r="G312" s="25">
        <f>Inventory_List_Table5[[#This Row],[سحب أيوب ]]*Inventory_List_Table5[[#This Row],[التكلفة]]</f>
        <v>0</v>
      </c>
      <c r="H312" s="37"/>
    </row>
    <row r="313" spans="1:8" ht="24" customHeight="1" thickTop="1" thickBot="1" x14ac:dyDescent="0.35">
      <c r="A313" s="46">
        <v>310</v>
      </c>
      <c r="B313" s="44"/>
      <c r="C313" s="27"/>
      <c r="D313" s="23"/>
      <c r="E313" s="29"/>
      <c r="F313" s="30"/>
      <c r="G313" s="72">
        <f>Inventory_List_Table5[[#This Row],[سحب أيوب ]]*Inventory_List_Table5[[#This Row],[التكلفة]]</f>
        <v>0</v>
      </c>
      <c r="H313" s="37"/>
    </row>
    <row r="314" spans="1:8" ht="24" customHeight="1" thickTop="1" thickBot="1" x14ac:dyDescent="0.35">
      <c r="A314" s="46">
        <v>311</v>
      </c>
      <c r="B314" s="43"/>
      <c r="C314" s="27"/>
      <c r="D314" s="23"/>
      <c r="E314" s="24"/>
      <c r="F314" s="28"/>
      <c r="G314" s="25">
        <f>Inventory_List_Table5[[#This Row],[سحب أيوب ]]*Inventory_List_Table5[[#This Row],[التكلفة]]</f>
        <v>0</v>
      </c>
      <c r="H314" s="37"/>
    </row>
    <row r="315" spans="1:8" ht="24" customHeight="1" thickTop="1" thickBot="1" x14ac:dyDescent="0.35">
      <c r="A315" s="46">
        <v>312</v>
      </c>
      <c r="B315" s="44"/>
      <c r="C315" s="27"/>
      <c r="D315" s="23"/>
      <c r="E315" s="24"/>
      <c r="F315" s="28"/>
      <c r="G315" s="25">
        <f>Inventory_List_Table5[[#This Row],[سحب أيوب ]]*Inventory_List_Table5[[#This Row],[التكلفة]]</f>
        <v>0</v>
      </c>
      <c r="H315" s="37"/>
    </row>
    <row r="316" spans="1:8" ht="24" customHeight="1" thickTop="1" thickBot="1" x14ac:dyDescent="0.35">
      <c r="A316" s="46">
        <v>313</v>
      </c>
      <c r="B316" s="44"/>
      <c r="C316" s="27"/>
      <c r="D316" s="23"/>
      <c r="E316" s="29"/>
      <c r="F316" s="30"/>
      <c r="G316" s="72">
        <f>Inventory_List_Table5[[#This Row],[سحب أيوب ]]*Inventory_List_Table5[[#This Row],[التكلفة]]</f>
        <v>0</v>
      </c>
      <c r="H316" s="37"/>
    </row>
    <row r="317" spans="1:8" ht="24" customHeight="1" thickTop="1" thickBot="1" x14ac:dyDescent="0.35">
      <c r="A317" s="46">
        <v>314</v>
      </c>
      <c r="B317" s="42"/>
      <c r="C317" s="22"/>
      <c r="D317" s="23"/>
      <c r="E317" s="22"/>
      <c r="F317" s="28"/>
      <c r="G317" s="28">
        <f>Inventory_List_Table5[[#This Row],[سحب أيوب ]]*Inventory_List_Table5[[#This Row],[التكلفة]]</f>
        <v>0</v>
      </c>
      <c r="H317" s="37"/>
    </row>
    <row r="318" spans="1:8" ht="24" customHeight="1" thickTop="1" thickBot="1" x14ac:dyDescent="0.35">
      <c r="A318" s="50">
        <v>315</v>
      </c>
      <c r="B318" s="42"/>
      <c r="C318" s="22"/>
      <c r="D318" s="23"/>
      <c r="E318" s="24"/>
      <c r="F318" s="28"/>
      <c r="G318" s="28">
        <f>Inventory_List_Table5[[#This Row],[سحب أيوب ]]*Inventory_List_Table5[[#This Row],[التكلفة]]</f>
        <v>0</v>
      </c>
      <c r="H318" s="37"/>
    </row>
    <row r="319" spans="1:8" ht="24" customHeight="1" thickTop="1" thickBot="1" x14ac:dyDescent="0.35">
      <c r="A319" s="46">
        <v>316</v>
      </c>
      <c r="B319" s="44"/>
      <c r="C319" s="27"/>
      <c r="D319" s="31"/>
      <c r="E319" s="29"/>
      <c r="F319" s="30"/>
      <c r="G319" s="73">
        <f>Inventory_List_Table5[[#This Row],[سحب أيوب ]]*Inventory_List_Table5[[#This Row],[التكلفة]]</f>
        <v>0</v>
      </c>
      <c r="H319" s="38"/>
    </row>
    <row r="320" spans="1:8" ht="24" customHeight="1" thickTop="1" thickBot="1" x14ac:dyDescent="0.35">
      <c r="A320" s="46">
        <v>317</v>
      </c>
      <c r="B320" s="51"/>
      <c r="C320" s="27"/>
      <c r="D320" s="31"/>
      <c r="E320" s="27"/>
      <c r="F320" s="32"/>
      <c r="G320" s="73">
        <f>Inventory_List_Table5[[#This Row],[سحب أيوب ]]*Inventory_List_Table5[[#This Row],[التكلفة]]</f>
        <v>0</v>
      </c>
      <c r="H320" s="38"/>
    </row>
    <row r="321" spans="1:8" ht="24" customHeight="1" thickTop="1" thickBot="1" x14ac:dyDescent="0.35">
      <c r="A321" s="46">
        <v>318</v>
      </c>
      <c r="B321" s="51"/>
      <c r="C321" s="27"/>
      <c r="D321" s="31"/>
      <c r="E321" s="27"/>
      <c r="F321" s="32"/>
      <c r="G321" s="73">
        <f>Inventory_List_Table5[[#This Row],[سحب أيوب ]]*Inventory_List_Table5[[#This Row],[التكلفة]]</f>
        <v>0</v>
      </c>
      <c r="H321" s="38"/>
    </row>
    <row r="322" spans="1:8" ht="24" customHeight="1" thickTop="1" thickBot="1" x14ac:dyDescent="0.35">
      <c r="A322" s="46">
        <v>319</v>
      </c>
      <c r="B322" s="51"/>
      <c r="C322" s="27"/>
      <c r="D322" s="31"/>
      <c r="E322" s="27"/>
      <c r="F322" s="32"/>
      <c r="G322" s="73">
        <f>Inventory_List_Table5[[#This Row],[سحب أيوب ]]*Inventory_List_Table5[[#This Row],[التكلفة]]</f>
        <v>0</v>
      </c>
      <c r="H322" s="38"/>
    </row>
    <row r="323" spans="1:8" ht="24" customHeight="1" thickTop="1" thickBot="1" x14ac:dyDescent="0.35">
      <c r="A323" s="46">
        <v>320</v>
      </c>
      <c r="B323" s="51"/>
      <c r="C323" s="27"/>
      <c r="D323" s="31"/>
      <c r="E323" s="27"/>
      <c r="F323" s="32"/>
      <c r="G323" s="73">
        <f>Inventory_List_Table5[[#This Row],[سحب أيوب ]]*Inventory_List_Table5[[#This Row],[التكلفة]]</f>
        <v>0</v>
      </c>
      <c r="H323" s="38"/>
    </row>
    <row r="324" spans="1:8" ht="24" customHeight="1" thickTop="1" thickBot="1" x14ac:dyDescent="0.35">
      <c r="A324" s="46">
        <v>321</v>
      </c>
      <c r="B324" s="51"/>
      <c r="C324" s="27"/>
      <c r="D324" s="31"/>
      <c r="E324" s="27"/>
      <c r="F324" s="32"/>
      <c r="G324" s="73">
        <f>Inventory_List_Table5[[#This Row],[سحب أيوب ]]*Inventory_List_Table5[[#This Row],[التكلفة]]</f>
        <v>0</v>
      </c>
      <c r="H324" s="38"/>
    </row>
    <row r="325" spans="1:8" ht="24" customHeight="1" thickTop="1" thickBot="1" x14ac:dyDescent="0.35">
      <c r="A325" s="46">
        <v>322</v>
      </c>
      <c r="B325" s="51"/>
      <c r="C325" s="27"/>
      <c r="D325" s="31"/>
      <c r="E325" s="27"/>
      <c r="F325" s="32"/>
      <c r="G325" s="73">
        <f>Inventory_List_Table5[[#This Row],[سحب أيوب ]]*Inventory_List_Table5[[#This Row],[التكلفة]]</f>
        <v>0</v>
      </c>
      <c r="H325" s="38"/>
    </row>
    <row r="326" spans="1:8" ht="24" customHeight="1" thickTop="1" thickBot="1" x14ac:dyDescent="0.35">
      <c r="A326" s="46">
        <v>323</v>
      </c>
      <c r="B326" s="51"/>
      <c r="C326" s="27"/>
      <c r="D326" s="31"/>
      <c r="E326" s="27"/>
      <c r="F326" s="32"/>
      <c r="G326" s="73">
        <f>Inventory_List_Table5[[#This Row],[سحب أيوب ]]*Inventory_List_Table5[[#This Row],[التكلفة]]</f>
        <v>0</v>
      </c>
      <c r="H326" s="38"/>
    </row>
    <row r="327" spans="1:8" ht="24" customHeight="1" thickTop="1" thickBot="1" x14ac:dyDescent="0.35">
      <c r="A327" s="46">
        <v>324</v>
      </c>
      <c r="B327" s="51"/>
      <c r="C327" s="27"/>
      <c r="D327" s="31"/>
      <c r="E327" s="27"/>
      <c r="F327" s="32"/>
      <c r="G327" s="73">
        <f>Inventory_List_Table5[[#This Row],[سحب أيوب ]]*Inventory_List_Table5[[#This Row],[التكلفة]]</f>
        <v>0</v>
      </c>
      <c r="H327" s="38"/>
    </row>
    <row r="328" spans="1:8" ht="24" customHeight="1" thickTop="1" thickBot="1" x14ac:dyDescent="0.35">
      <c r="A328" s="46">
        <v>325</v>
      </c>
      <c r="B328" s="51"/>
      <c r="C328" s="27"/>
      <c r="D328" s="31"/>
      <c r="E328" s="27"/>
      <c r="F328" s="32"/>
      <c r="G328" s="73">
        <f>Inventory_List_Table5[[#This Row],[سحب أيوب ]]*Inventory_List_Table5[[#This Row],[التكلفة]]</f>
        <v>0</v>
      </c>
      <c r="H328" s="39"/>
    </row>
    <row r="329" spans="1:8" ht="24" customHeight="1" thickTop="1" thickBot="1" x14ac:dyDescent="0.35">
      <c r="A329" s="46">
        <v>326</v>
      </c>
      <c r="B329" s="51"/>
      <c r="C329" s="27"/>
      <c r="D329" s="31"/>
      <c r="E329" s="27"/>
      <c r="F329" s="32"/>
      <c r="G329" s="73">
        <f>Inventory_List_Table5[[#This Row],[سحب أيوب ]]*Inventory_List_Table5[[#This Row],[التكلفة]]</f>
        <v>0</v>
      </c>
      <c r="H329" s="38"/>
    </row>
    <row r="330" spans="1:8" ht="24" customHeight="1" thickTop="1" thickBot="1" x14ac:dyDescent="0.35">
      <c r="A330" s="46">
        <v>327</v>
      </c>
      <c r="B330" s="51"/>
      <c r="C330" s="27"/>
      <c r="D330" s="31"/>
      <c r="E330" s="27"/>
      <c r="F330" s="32"/>
      <c r="G330" s="73">
        <f>Inventory_List_Table5[[#This Row],[سحب أيوب ]]*Inventory_List_Table5[[#This Row],[التكلفة]]</f>
        <v>0</v>
      </c>
      <c r="H330" s="40"/>
    </row>
    <row r="331" spans="1:8" ht="24" customHeight="1" thickTop="1" thickBot="1" x14ac:dyDescent="0.35">
      <c r="A331" s="46">
        <v>328</v>
      </c>
      <c r="B331" s="51"/>
      <c r="C331" s="27"/>
      <c r="D331" s="31"/>
      <c r="E331" s="27"/>
      <c r="F331" s="32"/>
      <c r="G331" s="73">
        <f>Inventory_List_Table5[[#This Row],[سحب أيوب ]]*Inventory_List_Table5[[#This Row],[التكلفة]]</f>
        <v>0</v>
      </c>
      <c r="H331" s="40"/>
    </row>
    <row r="332" spans="1:8" ht="24" customHeight="1" thickTop="1" thickBot="1" x14ac:dyDescent="0.35">
      <c r="A332" s="46">
        <v>329</v>
      </c>
      <c r="B332" s="51"/>
      <c r="C332" s="27"/>
      <c r="D332" s="31"/>
      <c r="E332" s="27"/>
      <c r="F332" s="32"/>
      <c r="G332" s="73">
        <f>Inventory_List_Table5[[#This Row],[سحب أيوب ]]*Inventory_List_Table5[[#This Row],[التكلفة]]</f>
        <v>0</v>
      </c>
      <c r="H332" s="40"/>
    </row>
    <row r="333" spans="1:8" ht="24" customHeight="1" thickTop="1" thickBot="1" x14ac:dyDescent="0.35">
      <c r="A333" s="46">
        <v>330</v>
      </c>
      <c r="B333" s="51"/>
      <c r="C333" s="27"/>
      <c r="D333" s="31"/>
      <c r="E333" s="27"/>
      <c r="F333" s="32"/>
      <c r="G333" s="73">
        <f>Inventory_List_Table5[[#This Row],[سحب أيوب ]]*Inventory_List_Table5[[#This Row],[التكلفة]]</f>
        <v>0</v>
      </c>
      <c r="H333" s="40"/>
    </row>
    <row r="334" spans="1:8" ht="24" customHeight="1" thickTop="1" thickBot="1" x14ac:dyDescent="0.35">
      <c r="A334" s="46">
        <v>331</v>
      </c>
      <c r="B334" s="51"/>
      <c r="C334" s="27"/>
      <c r="D334" s="31"/>
      <c r="E334" s="27"/>
      <c r="F334" s="32"/>
      <c r="G334" s="73">
        <f>Inventory_List_Table5[[#This Row],[سحب أيوب ]]*Inventory_List_Table5[[#This Row],[التكلفة]]</f>
        <v>0</v>
      </c>
      <c r="H334" s="40"/>
    </row>
    <row r="335" spans="1:8" ht="24" customHeight="1" thickTop="1" thickBot="1" x14ac:dyDescent="0.35">
      <c r="A335" s="46">
        <v>332</v>
      </c>
      <c r="B335" s="51"/>
      <c r="C335" s="27"/>
      <c r="D335" s="31"/>
      <c r="E335" s="27"/>
      <c r="F335" s="32"/>
      <c r="G335" s="73">
        <f>Inventory_List_Table5[[#This Row],[سحب أيوب ]]*Inventory_List_Table5[[#This Row],[التكلفة]]</f>
        <v>0</v>
      </c>
      <c r="H335" s="40"/>
    </row>
    <row r="336" spans="1:8" ht="24" customHeight="1" thickTop="1" thickBot="1" x14ac:dyDescent="0.35">
      <c r="A336" s="46">
        <v>333</v>
      </c>
      <c r="B336" s="51"/>
      <c r="C336" s="27"/>
      <c r="D336" s="31"/>
      <c r="E336" s="27"/>
      <c r="F336" s="32"/>
      <c r="G336" s="73">
        <f>Inventory_List_Table5[[#This Row],[سحب أيوب ]]*Inventory_List_Table5[[#This Row],[التكلفة]]</f>
        <v>0</v>
      </c>
      <c r="H336" s="40"/>
    </row>
    <row r="337" spans="1:8" ht="24" customHeight="1" thickTop="1" thickBot="1" x14ac:dyDescent="0.35">
      <c r="A337" s="46">
        <v>334</v>
      </c>
      <c r="B337" s="51"/>
      <c r="C337" s="27"/>
      <c r="D337" s="31"/>
      <c r="E337" s="27"/>
      <c r="F337" s="32"/>
      <c r="G337" s="73">
        <f>Inventory_List_Table5[[#This Row],[سحب أيوب ]]*Inventory_List_Table5[[#This Row],[التكلفة]]</f>
        <v>0</v>
      </c>
      <c r="H337" s="40"/>
    </row>
    <row r="338" spans="1:8" ht="24" customHeight="1" thickTop="1" thickBot="1" x14ac:dyDescent="0.35">
      <c r="A338" s="46">
        <v>335</v>
      </c>
      <c r="B338" s="51"/>
      <c r="C338" s="27"/>
      <c r="D338" s="31"/>
      <c r="E338" s="27"/>
      <c r="F338" s="32"/>
      <c r="G338" s="73">
        <f>Inventory_List_Table5[[#This Row],[سحب أيوب ]]*Inventory_List_Table5[[#This Row],[التكلفة]]</f>
        <v>0</v>
      </c>
      <c r="H338" s="40"/>
    </row>
    <row r="339" spans="1:8" ht="24" customHeight="1" thickTop="1" thickBot="1" x14ac:dyDescent="0.35">
      <c r="A339" s="46">
        <v>336</v>
      </c>
      <c r="B339" s="51"/>
      <c r="C339" s="27"/>
      <c r="D339" s="31"/>
      <c r="E339" s="27"/>
      <c r="F339" s="32"/>
      <c r="G339" s="73">
        <f>Inventory_List_Table5[[#This Row],[سحب أيوب ]]*Inventory_List_Table5[[#This Row],[التكلفة]]</f>
        <v>0</v>
      </c>
      <c r="H339" s="40"/>
    </row>
    <row r="340" spans="1:8" ht="24" customHeight="1" thickTop="1" thickBot="1" x14ac:dyDescent="0.35">
      <c r="A340" s="46">
        <v>337</v>
      </c>
      <c r="B340" s="51"/>
      <c r="C340" s="27"/>
      <c r="D340" s="31"/>
      <c r="E340" s="27"/>
      <c r="F340" s="32"/>
      <c r="G340" s="73">
        <f>Inventory_List_Table5[[#This Row],[سحب أيوب ]]*Inventory_List_Table5[[#This Row],[التكلفة]]</f>
        <v>0</v>
      </c>
      <c r="H340" s="40"/>
    </row>
    <row r="341" spans="1:8" ht="24" customHeight="1" thickTop="1" thickBot="1" x14ac:dyDescent="0.35">
      <c r="A341" s="46">
        <v>338</v>
      </c>
      <c r="B341" s="51"/>
      <c r="C341" s="27"/>
      <c r="D341" s="31"/>
      <c r="E341" s="27"/>
      <c r="F341" s="32"/>
      <c r="G341" s="73">
        <f>Inventory_List_Table5[[#This Row],[سحب أيوب ]]*Inventory_List_Table5[[#This Row],[التكلفة]]</f>
        <v>0</v>
      </c>
      <c r="H341" s="40"/>
    </row>
    <row r="342" spans="1:8" ht="24" customHeight="1" thickTop="1" thickBot="1" x14ac:dyDescent="0.35">
      <c r="A342" s="46">
        <v>339</v>
      </c>
      <c r="B342" s="51"/>
      <c r="C342" s="27"/>
      <c r="D342" s="31"/>
      <c r="E342" s="27"/>
      <c r="F342" s="32"/>
      <c r="G342" s="73">
        <f>Inventory_List_Table5[[#This Row],[سحب أيوب ]]*Inventory_List_Table5[[#This Row],[التكلفة]]</f>
        <v>0</v>
      </c>
      <c r="H342" s="40"/>
    </row>
    <row r="343" spans="1:8" ht="24" customHeight="1" thickTop="1" thickBot="1" x14ac:dyDescent="0.35">
      <c r="A343" s="46">
        <v>340</v>
      </c>
      <c r="B343" s="51"/>
      <c r="C343" s="27"/>
      <c r="D343" s="31"/>
      <c r="E343" s="27"/>
      <c r="F343" s="32"/>
      <c r="G343" s="73">
        <f>Inventory_List_Table5[[#This Row],[سحب أيوب ]]*Inventory_List_Table5[[#This Row],[التكلفة]]</f>
        <v>0</v>
      </c>
      <c r="H343" s="40"/>
    </row>
    <row r="344" spans="1:8" ht="24" customHeight="1" thickTop="1" thickBot="1" x14ac:dyDescent="0.35">
      <c r="A344" s="46">
        <v>341</v>
      </c>
      <c r="B344" s="51"/>
      <c r="C344" s="27"/>
      <c r="D344" s="31"/>
      <c r="E344" s="27"/>
      <c r="F344" s="32"/>
      <c r="G344" s="73">
        <f>Inventory_List_Table5[[#This Row],[سحب أيوب ]]*Inventory_List_Table5[[#This Row],[التكلفة]]</f>
        <v>0</v>
      </c>
      <c r="H344" s="40"/>
    </row>
    <row r="345" spans="1:8" ht="24" customHeight="1" thickTop="1" thickBot="1" x14ac:dyDescent="0.35">
      <c r="A345" s="46">
        <v>342</v>
      </c>
      <c r="B345" s="51"/>
      <c r="C345" s="27"/>
      <c r="D345" s="31"/>
      <c r="E345" s="27"/>
      <c r="F345" s="32"/>
      <c r="G345" s="73">
        <f>Inventory_List_Table5[[#This Row],[سحب أيوب ]]*Inventory_List_Table5[[#This Row],[التكلفة]]</f>
        <v>0</v>
      </c>
      <c r="H345" s="40"/>
    </row>
    <row r="346" spans="1:8" ht="24" customHeight="1" thickTop="1" thickBot="1" x14ac:dyDescent="0.35">
      <c r="A346" s="46">
        <v>343</v>
      </c>
      <c r="B346" s="51"/>
      <c r="C346" s="27"/>
      <c r="D346" s="31"/>
      <c r="E346" s="27"/>
      <c r="F346" s="32"/>
      <c r="G346" s="73">
        <f>Inventory_List_Table5[[#This Row],[سحب أيوب ]]*Inventory_List_Table5[[#This Row],[التكلفة]]</f>
        <v>0</v>
      </c>
      <c r="H346" s="40"/>
    </row>
    <row r="347" spans="1:8" ht="24" customHeight="1" thickTop="1" thickBot="1" x14ac:dyDescent="0.35">
      <c r="A347" s="46">
        <v>344</v>
      </c>
      <c r="B347" s="51"/>
      <c r="C347" s="27"/>
      <c r="D347" s="31"/>
      <c r="E347" s="27"/>
      <c r="F347" s="32"/>
      <c r="G347" s="73">
        <f>Inventory_List_Table5[[#This Row],[سحب أيوب ]]*Inventory_List_Table5[[#This Row],[التكلفة]]</f>
        <v>0</v>
      </c>
      <c r="H347" s="40"/>
    </row>
    <row r="348" spans="1:8" ht="24" customHeight="1" thickTop="1" thickBot="1" x14ac:dyDescent="0.35">
      <c r="A348" s="46">
        <v>345</v>
      </c>
      <c r="B348" s="51"/>
      <c r="C348" s="27"/>
      <c r="D348" s="31"/>
      <c r="E348" s="27"/>
      <c r="F348" s="32"/>
      <c r="G348" s="73">
        <f>Inventory_List_Table5[[#This Row],[سحب أيوب ]]*Inventory_List_Table5[[#This Row],[التكلفة]]</f>
        <v>0</v>
      </c>
      <c r="H348" s="40"/>
    </row>
    <row r="349" spans="1:8" ht="24" customHeight="1" thickTop="1" thickBot="1" x14ac:dyDescent="0.35">
      <c r="A349" s="46">
        <v>346</v>
      </c>
      <c r="B349" s="51"/>
      <c r="C349" s="27"/>
      <c r="D349" s="31"/>
      <c r="E349" s="27"/>
      <c r="F349" s="32"/>
      <c r="G349" s="73">
        <f>Inventory_List_Table5[[#This Row],[سحب أيوب ]]*Inventory_List_Table5[[#This Row],[التكلفة]]</f>
        <v>0</v>
      </c>
      <c r="H349" s="40"/>
    </row>
    <row r="350" spans="1:8" ht="24" customHeight="1" thickTop="1" thickBot="1" x14ac:dyDescent="0.35">
      <c r="A350" s="46">
        <v>347</v>
      </c>
      <c r="B350" s="51"/>
      <c r="C350" s="27"/>
      <c r="D350" s="31"/>
      <c r="E350" s="27"/>
      <c r="F350" s="32"/>
      <c r="G350" s="73">
        <f>Inventory_List_Table5[[#This Row],[سحب أيوب ]]*Inventory_List_Table5[[#This Row],[التكلفة]]</f>
        <v>0</v>
      </c>
      <c r="H350" s="40"/>
    </row>
    <row r="351" spans="1:8" ht="24" customHeight="1" thickTop="1" thickBot="1" x14ac:dyDescent="0.35">
      <c r="A351" s="46">
        <v>348</v>
      </c>
      <c r="B351" s="51"/>
      <c r="C351" s="27"/>
      <c r="D351" s="31"/>
      <c r="E351" s="27"/>
      <c r="F351" s="32"/>
      <c r="G351" s="73">
        <f>Inventory_List_Table5[[#This Row],[سحب أيوب ]]*Inventory_List_Table5[[#This Row],[التكلفة]]</f>
        <v>0</v>
      </c>
      <c r="H351" s="40"/>
    </row>
    <row r="352" spans="1:8" ht="24" customHeight="1" thickTop="1" thickBot="1" x14ac:dyDescent="0.35">
      <c r="A352" s="46">
        <v>349</v>
      </c>
      <c r="B352" s="51"/>
      <c r="C352" s="27"/>
      <c r="D352" s="31"/>
      <c r="E352" s="27"/>
      <c r="F352" s="32"/>
      <c r="G352" s="73">
        <f>Inventory_List_Table5[[#This Row],[سحب أيوب ]]*Inventory_List_Table5[[#This Row],[التكلفة]]</f>
        <v>0</v>
      </c>
      <c r="H352" s="40"/>
    </row>
    <row r="353" spans="1:8" ht="24" customHeight="1" thickTop="1" thickBot="1" x14ac:dyDescent="0.35">
      <c r="A353" s="46">
        <v>350</v>
      </c>
      <c r="B353" s="51"/>
      <c r="C353" s="27"/>
      <c r="D353" s="31"/>
      <c r="E353" s="27"/>
      <c r="F353" s="32"/>
      <c r="G353" s="73">
        <f>Inventory_List_Table5[[#This Row],[سحب أيوب ]]*Inventory_List_Table5[[#This Row],[التكلفة]]</f>
        <v>0</v>
      </c>
      <c r="H353" s="40"/>
    </row>
    <row r="354" spans="1:8" ht="24" customHeight="1" thickTop="1" thickBot="1" x14ac:dyDescent="0.35">
      <c r="A354" s="46">
        <v>351</v>
      </c>
      <c r="B354" s="51"/>
      <c r="C354" s="27"/>
      <c r="D354" s="31"/>
      <c r="E354" s="27"/>
      <c r="F354" s="32"/>
      <c r="G354" s="73">
        <f>Inventory_List_Table5[[#This Row],[سحب أيوب ]]*Inventory_List_Table5[[#This Row],[التكلفة]]</f>
        <v>0</v>
      </c>
      <c r="H354" s="40"/>
    </row>
    <row r="355" spans="1:8" ht="24" customHeight="1" thickTop="1" thickBot="1" x14ac:dyDescent="0.35">
      <c r="A355" s="46">
        <v>352</v>
      </c>
      <c r="B355" s="51"/>
      <c r="C355" s="27"/>
      <c r="D355" s="31"/>
      <c r="E355" s="27"/>
      <c r="F355" s="32"/>
      <c r="G355" s="73">
        <f>Inventory_List_Table5[[#This Row],[سحب أيوب ]]*Inventory_List_Table5[[#This Row],[التكلفة]]</f>
        <v>0</v>
      </c>
      <c r="H355" s="40"/>
    </row>
    <row r="356" spans="1:8" ht="24" customHeight="1" thickTop="1" thickBot="1" x14ac:dyDescent="0.35">
      <c r="A356" s="46">
        <v>353</v>
      </c>
      <c r="B356" s="51"/>
      <c r="C356" s="27"/>
      <c r="D356" s="31"/>
      <c r="E356" s="27"/>
      <c r="F356" s="32"/>
      <c r="G356" s="73">
        <f>Inventory_List_Table5[[#This Row],[سحب أيوب ]]*Inventory_List_Table5[[#This Row],[التكلفة]]</f>
        <v>0</v>
      </c>
      <c r="H356" s="40"/>
    </row>
    <row r="357" spans="1:8" ht="24" customHeight="1" thickTop="1" thickBot="1" x14ac:dyDescent="0.35">
      <c r="A357" s="46">
        <v>354</v>
      </c>
      <c r="B357" s="51"/>
      <c r="C357" s="27"/>
      <c r="D357" s="31"/>
      <c r="E357" s="27"/>
      <c r="F357" s="32"/>
      <c r="G357" s="73">
        <f>Inventory_List_Table5[[#This Row],[سحب أيوب ]]*Inventory_List_Table5[[#This Row],[التكلفة]]</f>
        <v>0</v>
      </c>
      <c r="H357" s="40"/>
    </row>
    <row r="358" spans="1:8" ht="24" customHeight="1" thickTop="1" thickBot="1" x14ac:dyDescent="0.35">
      <c r="A358" s="46">
        <v>355</v>
      </c>
      <c r="B358" s="51"/>
      <c r="C358" s="27"/>
      <c r="D358" s="31"/>
      <c r="E358" s="27"/>
      <c r="F358" s="32"/>
      <c r="G358" s="73">
        <f>Inventory_List_Table5[[#This Row],[سحب أيوب ]]*Inventory_List_Table5[[#This Row],[التكلفة]]</f>
        <v>0</v>
      </c>
      <c r="H358" s="40"/>
    </row>
    <row r="359" spans="1:8" ht="24" customHeight="1" thickTop="1" thickBot="1" x14ac:dyDescent="0.35">
      <c r="A359" s="46">
        <v>356</v>
      </c>
      <c r="B359" s="51"/>
      <c r="C359" s="27"/>
      <c r="D359" s="31"/>
      <c r="E359" s="27"/>
      <c r="F359" s="32"/>
      <c r="G359" s="73">
        <f>Inventory_List_Table5[[#This Row],[سحب أيوب ]]*Inventory_List_Table5[[#This Row],[التكلفة]]</f>
        <v>0</v>
      </c>
      <c r="H359" s="40"/>
    </row>
    <row r="360" spans="1:8" ht="24" customHeight="1" thickTop="1" thickBot="1" x14ac:dyDescent="0.35">
      <c r="A360" s="46">
        <v>357</v>
      </c>
      <c r="B360" s="51"/>
      <c r="C360" s="27"/>
      <c r="D360" s="31"/>
      <c r="E360" s="27"/>
      <c r="F360" s="32"/>
      <c r="G360" s="73">
        <f>Inventory_List_Table5[[#This Row],[سحب أيوب ]]*Inventory_List_Table5[[#This Row],[التكلفة]]</f>
        <v>0</v>
      </c>
      <c r="H360" s="40"/>
    </row>
    <row r="361" spans="1:8" ht="24" customHeight="1" thickTop="1" thickBot="1" x14ac:dyDescent="0.35">
      <c r="A361" s="46">
        <v>358</v>
      </c>
      <c r="B361" s="51"/>
      <c r="C361" s="27"/>
      <c r="D361" s="31"/>
      <c r="E361" s="27"/>
      <c r="F361" s="32"/>
      <c r="G361" s="73">
        <f>Inventory_List_Table5[[#This Row],[سحب أيوب ]]*Inventory_List_Table5[[#This Row],[التكلفة]]</f>
        <v>0</v>
      </c>
      <c r="H361" s="40"/>
    </row>
    <row r="362" spans="1:8" ht="24" customHeight="1" thickTop="1" thickBot="1" x14ac:dyDescent="0.35">
      <c r="A362" s="46">
        <v>359</v>
      </c>
      <c r="B362" s="51"/>
      <c r="C362" s="27"/>
      <c r="D362" s="31"/>
      <c r="E362" s="27"/>
      <c r="F362" s="32"/>
      <c r="G362" s="73">
        <f>Inventory_List_Table5[[#This Row],[سحب أيوب ]]*Inventory_List_Table5[[#This Row],[التكلفة]]</f>
        <v>0</v>
      </c>
      <c r="H362" s="40"/>
    </row>
    <row r="363" spans="1:8" ht="24" customHeight="1" thickTop="1" thickBot="1" x14ac:dyDescent="0.35">
      <c r="A363" s="46">
        <v>360</v>
      </c>
      <c r="B363" s="51"/>
      <c r="C363" s="27"/>
      <c r="D363" s="31"/>
      <c r="E363" s="27"/>
      <c r="F363" s="32"/>
      <c r="G363" s="73">
        <f>Inventory_List_Table5[[#This Row],[سحب أيوب ]]*Inventory_List_Table5[[#This Row],[التكلفة]]</f>
        <v>0</v>
      </c>
      <c r="H363" s="40"/>
    </row>
    <row r="364" spans="1:8" ht="24" customHeight="1" thickTop="1" thickBot="1" x14ac:dyDescent="0.3">
      <c r="B364" s="51"/>
      <c r="C364" s="27"/>
      <c r="D364" s="31"/>
      <c r="E364" s="27"/>
      <c r="F364" s="32"/>
      <c r="G364" s="73">
        <f>Inventory_List_Table5[[#This Row],[سحب أيوب ]]*Inventory_List_Table5[[#This Row],[التكلفة]]</f>
        <v>0</v>
      </c>
      <c r="H364" s="40"/>
    </row>
    <row r="365" spans="1:8" ht="24" customHeight="1" thickTop="1" thickBot="1" x14ac:dyDescent="0.3">
      <c r="B365" s="51"/>
      <c r="C365" s="27"/>
      <c r="D365" s="31"/>
      <c r="E365" s="27"/>
      <c r="F365" s="32"/>
      <c r="G365" s="73">
        <f>Inventory_List_Table5[[#This Row],[سحب أيوب ]]*Inventory_List_Table5[[#This Row],[التكلفة]]</f>
        <v>0</v>
      </c>
      <c r="H365" s="40"/>
    </row>
    <row r="366" spans="1:8" ht="24" customHeight="1" thickTop="1" thickBot="1" x14ac:dyDescent="0.3">
      <c r="B366" s="51"/>
      <c r="C366" s="27"/>
      <c r="D366" s="31"/>
      <c r="E366" s="27"/>
      <c r="F366" s="32"/>
      <c r="G366" s="73">
        <f>Inventory_List_Table5[[#This Row],[سحب أيوب ]]*Inventory_List_Table5[[#This Row],[التكلفة]]</f>
        <v>0</v>
      </c>
      <c r="H366" s="40"/>
    </row>
    <row r="367" spans="1:8" ht="24" customHeight="1" thickTop="1" thickBot="1" x14ac:dyDescent="0.3">
      <c r="B367" s="51"/>
      <c r="C367" s="27"/>
      <c r="D367" s="31"/>
      <c r="E367" s="27"/>
      <c r="F367" s="32"/>
      <c r="G367" s="73">
        <f>Inventory_List_Table5[[#This Row],[سحب أيوب ]]*Inventory_List_Table5[[#This Row],[التكلفة]]</f>
        <v>0</v>
      </c>
      <c r="H367" s="40"/>
    </row>
    <row r="368" spans="1:8" ht="24" customHeight="1" thickTop="1" thickBot="1" x14ac:dyDescent="0.3">
      <c r="B368" s="51"/>
      <c r="C368" s="27"/>
      <c r="D368" s="31"/>
      <c r="E368" s="27"/>
      <c r="F368" s="32"/>
      <c r="G368" s="73">
        <f>Inventory_List_Table5[[#This Row],[سحب أيوب ]]*Inventory_List_Table5[[#This Row],[التكلفة]]</f>
        <v>0</v>
      </c>
      <c r="H368" s="40"/>
    </row>
    <row r="369" spans="2:8" ht="24" customHeight="1" thickTop="1" thickBot="1" x14ac:dyDescent="0.3">
      <c r="B369" s="51"/>
      <c r="C369" s="27"/>
      <c r="D369" s="31"/>
      <c r="E369" s="27"/>
      <c r="F369" s="32"/>
      <c r="G369" s="73">
        <f>Inventory_List_Table5[[#This Row],[سحب أيوب ]]*Inventory_List_Table5[[#This Row],[التكلفة]]</f>
        <v>0</v>
      </c>
      <c r="H369" s="40"/>
    </row>
    <row r="370" spans="2:8" ht="24" customHeight="1" thickTop="1" thickBot="1" x14ac:dyDescent="0.35">
      <c r="B370" s="52" t="s">
        <v>263</v>
      </c>
    </row>
    <row r="371" spans="2:8" ht="24" customHeight="1" thickTop="1" thickBot="1" x14ac:dyDescent="0.35">
      <c r="B371" s="52" t="s">
        <v>94</v>
      </c>
    </row>
    <row r="372" spans="2:8" ht="24" customHeight="1" thickTop="1" thickBot="1" x14ac:dyDescent="0.35">
      <c r="B372" s="52" t="s">
        <v>95</v>
      </c>
    </row>
    <row r="373" spans="2:8" ht="24" customHeight="1" thickTop="1" thickBot="1" x14ac:dyDescent="0.35">
      <c r="B373" s="52" t="s">
        <v>96</v>
      </c>
    </row>
    <row r="374" spans="2:8" ht="24" customHeight="1" thickTop="1" thickBot="1" x14ac:dyDescent="0.35">
      <c r="B374" s="53" t="s">
        <v>41</v>
      </c>
    </row>
    <row r="375" spans="2:8" ht="24" customHeight="1" thickTop="1" thickBot="1" x14ac:dyDescent="0.35">
      <c r="B375" s="53" t="s">
        <v>97</v>
      </c>
    </row>
    <row r="376" spans="2:8" ht="24" customHeight="1" thickTop="1" thickBot="1" x14ac:dyDescent="0.35">
      <c r="B376" s="52" t="s">
        <v>16</v>
      </c>
    </row>
    <row r="377" spans="2:8" ht="24" customHeight="1" thickTop="1" thickBot="1" x14ac:dyDescent="0.35">
      <c r="B377" s="52" t="s">
        <v>100</v>
      </c>
    </row>
    <row r="378" spans="2:8" ht="24" customHeight="1" thickTop="1" thickBot="1" x14ac:dyDescent="0.35">
      <c r="B378" s="52" t="s">
        <v>101</v>
      </c>
    </row>
    <row r="379" spans="2:8" ht="24" customHeight="1" thickTop="1" thickBot="1" x14ac:dyDescent="0.35">
      <c r="B379" s="52" t="s">
        <v>104</v>
      </c>
    </row>
    <row r="380" spans="2:8" ht="24" customHeight="1" thickTop="1" thickBot="1" x14ac:dyDescent="0.35">
      <c r="B380" s="52" t="s">
        <v>107</v>
      </c>
    </row>
    <row r="381" spans="2:8" ht="24" customHeight="1" thickTop="1" thickBot="1" x14ac:dyDescent="0.35">
      <c r="B381" s="52" t="s">
        <v>110</v>
      </c>
    </row>
    <row r="382" spans="2:8" ht="24" customHeight="1" thickTop="1" thickBot="1" x14ac:dyDescent="0.35">
      <c r="B382" s="52" t="s">
        <v>115</v>
      </c>
    </row>
    <row r="383" spans="2:8" ht="24" customHeight="1" thickTop="1" thickBot="1" x14ac:dyDescent="0.35">
      <c r="B383" s="52" t="s">
        <v>117</v>
      </c>
    </row>
    <row r="384" spans="2:8" ht="24" customHeight="1" thickTop="1" thickBot="1" x14ac:dyDescent="0.35">
      <c r="B384" s="52" t="s">
        <v>119</v>
      </c>
    </row>
    <row r="385" spans="2:2" ht="24" customHeight="1" thickTop="1" thickBot="1" x14ac:dyDescent="0.35">
      <c r="B385" s="52" t="s">
        <v>121</v>
      </c>
    </row>
    <row r="386" spans="2:2" ht="24" customHeight="1" thickTop="1" thickBot="1" x14ac:dyDescent="0.35">
      <c r="B386" s="52" t="s">
        <v>126</v>
      </c>
    </row>
    <row r="387" spans="2:2" ht="24" customHeight="1" thickTop="1" thickBot="1" x14ac:dyDescent="0.35">
      <c r="B387" s="52" t="s">
        <v>264</v>
      </c>
    </row>
    <row r="388" spans="2:2" ht="24" customHeight="1" thickTop="1" thickBot="1" x14ac:dyDescent="0.35">
      <c r="B388" s="52" t="s">
        <v>149</v>
      </c>
    </row>
    <row r="389" spans="2:2" ht="24" customHeight="1" thickTop="1" thickBot="1" x14ac:dyDescent="0.35">
      <c r="B389" s="52" t="s">
        <v>150</v>
      </c>
    </row>
    <row r="390" spans="2:2" ht="24" customHeight="1" thickTop="1" thickBot="1" x14ac:dyDescent="0.35">
      <c r="B390" s="52" t="s">
        <v>151</v>
      </c>
    </row>
    <row r="391" spans="2:2" ht="24" customHeight="1" thickTop="1" thickBot="1" x14ac:dyDescent="0.35">
      <c r="B391" s="52" t="s">
        <v>152</v>
      </c>
    </row>
    <row r="392" spans="2:2" ht="24" customHeight="1" thickTop="1" thickBot="1" x14ac:dyDescent="0.35">
      <c r="B392" s="52" t="s">
        <v>156</v>
      </c>
    </row>
    <row r="393" spans="2:2" ht="24" customHeight="1" thickTop="1" thickBot="1" x14ac:dyDescent="0.35">
      <c r="B393" s="52" t="s">
        <v>157</v>
      </c>
    </row>
    <row r="394" spans="2:2" ht="24" customHeight="1" thickTop="1" thickBot="1" x14ac:dyDescent="0.35">
      <c r="B394" s="52" t="s">
        <v>158</v>
      </c>
    </row>
    <row r="395" spans="2:2" ht="24" customHeight="1" thickTop="1" thickBot="1" x14ac:dyDescent="0.35">
      <c r="B395" s="52" t="s">
        <v>159</v>
      </c>
    </row>
    <row r="396" spans="2:2" ht="24" customHeight="1" thickTop="1" thickBot="1" x14ac:dyDescent="0.35">
      <c r="B396" s="52" t="s">
        <v>160</v>
      </c>
    </row>
    <row r="397" spans="2:2" ht="24" customHeight="1" thickTop="1" thickBot="1" x14ac:dyDescent="0.35">
      <c r="B397" s="52" t="s">
        <v>161</v>
      </c>
    </row>
    <row r="398" spans="2:2" ht="24" customHeight="1" thickTop="1" thickBot="1" x14ac:dyDescent="0.35">
      <c r="B398" s="52" t="s">
        <v>165</v>
      </c>
    </row>
    <row r="399" spans="2:2" ht="24" customHeight="1" thickTop="1" thickBot="1" x14ac:dyDescent="0.35">
      <c r="B399" s="52" t="s">
        <v>166</v>
      </c>
    </row>
    <row r="400" spans="2:2" ht="24" customHeight="1" thickTop="1" thickBot="1" x14ac:dyDescent="0.3">
      <c r="B400" s="54" t="s">
        <v>170</v>
      </c>
    </row>
    <row r="401" spans="2:2" ht="24" customHeight="1" thickTop="1" thickBot="1" x14ac:dyDescent="0.3">
      <c r="B401" s="54" t="s">
        <v>185</v>
      </c>
    </row>
    <row r="402" spans="2:2" ht="24" customHeight="1" thickTop="1" thickBot="1" x14ac:dyDescent="0.3">
      <c r="B402" s="54" t="s">
        <v>17</v>
      </c>
    </row>
    <row r="403" spans="2:2" ht="24" customHeight="1" thickTop="1" thickBot="1" x14ac:dyDescent="0.3">
      <c r="B403" s="54" t="s">
        <v>188</v>
      </c>
    </row>
    <row r="404" spans="2:2" ht="24" customHeight="1" thickTop="1" thickBot="1" x14ac:dyDescent="0.3">
      <c r="B404" s="54" t="s">
        <v>191</v>
      </c>
    </row>
    <row r="405" spans="2:2" ht="24" customHeight="1" thickTop="1" thickBot="1" x14ac:dyDescent="0.3">
      <c r="B405" s="55" t="s">
        <v>197</v>
      </c>
    </row>
    <row r="406" spans="2:2" ht="24" customHeight="1" thickTop="1" thickBot="1" x14ac:dyDescent="0.3">
      <c r="B406" s="54" t="s">
        <v>198</v>
      </c>
    </row>
    <row r="407" spans="2:2" ht="24" customHeight="1" thickTop="1" thickBot="1" x14ac:dyDescent="0.3">
      <c r="B407" s="54" t="s">
        <v>200</v>
      </c>
    </row>
    <row r="408" spans="2:2" ht="24" customHeight="1" thickTop="1" thickBot="1" x14ac:dyDescent="0.3">
      <c r="B408" s="54" t="s">
        <v>206</v>
      </c>
    </row>
    <row r="409" spans="2:2" ht="24" customHeight="1" thickTop="1" thickBot="1" x14ac:dyDescent="0.3">
      <c r="B409" s="55" t="s">
        <v>211</v>
      </c>
    </row>
    <row r="410" spans="2:2" ht="24" customHeight="1" thickTop="1" thickBot="1" x14ac:dyDescent="0.3">
      <c r="B410" s="54" t="s">
        <v>212</v>
      </c>
    </row>
    <row r="411" spans="2:2" ht="24" customHeight="1" thickTop="1" thickBot="1" x14ac:dyDescent="0.3">
      <c r="B411" s="54" t="s">
        <v>215</v>
      </c>
    </row>
    <row r="412" spans="2:2" ht="24" customHeight="1" thickTop="1" thickBot="1" x14ac:dyDescent="0.3">
      <c r="B412" s="54" t="s">
        <v>216</v>
      </c>
    </row>
    <row r="413" spans="2:2" ht="24" customHeight="1" thickTop="1" thickBot="1" x14ac:dyDescent="0.3">
      <c r="B413" s="54" t="s">
        <v>201</v>
      </c>
    </row>
    <row r="414" spans="2:2" ht="24" customHeight="1" thickTop="1" thickBot="1" x14ac:dyDescent="0.3">
      <c r="B414" s="54" t="s">
        <v>222</v>
      </c>
    </row>
    <row r="415" spans="2:2" ht="24" customHeight="1" thickTop="1" thickBot="1" x14ac:dyDescent="0.3">
      <c r="B415" s="55" t="s">
        <v>226</v>
      </c>
    </row>
    <row r="416" spans="2:2" ht="24" customHeight="1" thickTop="1" thickBot="1" x14ac:dyDescent="0.3">
      <c r="B416" s="54" t="s">
        <v>227</v>
      </c>
    </row>
    <row r="417" spans="2:2" ht="24" customHeight="1" thickTop="1" thickBot="1" x14ac:dyDescent="0.3">
      <c r="B417" s="55" t="s">
        <v>228</v>
      </c>
    </row>
    <row r="418" spans="2:2" ht="24" customHeight="1" thickTop="1" thickBot="1" x14ac:dyDescent="0.3">
      <c r="B418" s="54" t="s">
        <v>229</v>
      </c>
    </row>
    <row r="419" spans="2:2" ht="24" customHeight="1" thickTop="1" thickBot="1" x14ac:dyDescent="0.3">
      <c r="B419" s="55" t="s">
        <v>234</v>
      </c>
    </row>
    <row r="420" spans="2:2" ht="24" customHeight="1" thickTop="1" thickBot="1" x14ac:dyDescent="0.3">
      <c r="B420" s="55" t="s">
        <v>235</v>
      </c>
    </row>
    <row r="421" spans="2:2" ht="24" customHeight="1" thickTop="1" thickBot="1" x14ac:dyDescent="0.3">
      <c r="B421" s="54" t="s">
        <v>236</v>
      </c>
    </row>
    <row r="422" spans="2:2" ht="24" customHeight="1" thickTop="1" thickBot="1" x14ac:dyDescent="0.3">
      <c r="B422" s="54" t="s">
        <v>238</v>
      </c>
    </row>
    <row r="423" spans="2:2" ht="24" customHeight="1" thickTop="1" thickBot="1" x14ac:dyDescent="0.3">
      <c r="B423" s="55" t="s">
        <v>253</v>
      </c>
    </row>
    <row r="424" spans="2:2" ht="24" customHeight="1" thickTop="1" thickBot="1" x14ac:dyDescent="0.3">
      <c r="B424" s="54" t="s">
        <v>254</v>
      </c>
    </row>
    <row r="425" spans="2:2" ht="24" customHeight="1" thickTop="1" thickBot="1" x14ac:dyDescent="0.3">
      <c r="B425" s="54" t="s">
        <v>257</v>
      </c>
    </row>
  </sheetData>
  <mergeCells count="1">
    <mergeCell ref="A1:B1"/>
  </mergeCells>
  <conditionalFormatting sqref="A4:A363">
    <cfRule type="expression" dxfId="194" priority="29">
      <formula>#REF!="نعم"</formula>
    </cfRule>
    <cfRule type="expression" dxfId="193" priority="30">
      <formula>$B4=1</formula>
    </cfRule>
  </conditionalFormatting>
  <conditionalFormatting sqref="B2 B320:B369 B426:B1048576">
    <cfRule type="duplicateValues" dxfId="192" priority="27"/>
  </conditionalFormatting>
  <conditionalFormatting sqref="B3">
    <cfRule type="duplicateValues" dxfId="191" priority="14"/>
  </conditionalFormatting>
  <conditionalFormatting sqref="B4:B89">
    <cfRule type="duplicateValues" dxfId="190" priority="10"/>
  </conditionalFormatting>
  <conditionalFormatting sqref="B90:B142 B144:B146">
    <cfRule type="duplicateValues" dxfId="189" priority="12"/>
  </conditionalFormatting>
  <conditionalFormatting sqref="B143">
    <cfRule type="duplicateValues" dxfId="188" priority="1"/>
    <cfRule type="duplicateValues" dxfId="187" priority="2"/>
    <cfRule type="duplicateValues" dxfId="186" priority="3"/>
  </conditionalFormatting>
  <conditionalFormatting sqref="B249:B251">
    <cfRule type="duplicateValues" dxfId="185" priority="17"/>
  </conditionalFormatting>
  <conditionalFormatting sqref="B252:B319">
    <cfRule type="duplicateValues" dxfId="184" priority="31"/>
  </conditionalFormatting>
  <conditionalFormatting sqref="B252:B369">
    <cfRule type="duplicateValues" dxfId="183" priority="32"/>
  </conditionalFormatting>
  <conditionalFormatting sqref="B370:B425">
    <cfRule type="duplicateValues" dxfId="182" priority="24"/>
  </conditionalFormatting>
  <conditionalFormatting sqref="B147:C228">
    <cfRule type="duplicateValues" dxfId="181" priority="22"/>
  </conditionalFormatting>
  <conditionalFormatting sqref="B4:E4 B5:B28 C5:E89 C90:D136 E90:E136 C137:E142 E143 C144:E146">
    <cfRule type="expression" dxfId="180" priority="4">
      <formula>#REF!="نعم"</formula>
    </cfRule>
  </conditionalFormatting>
  <conditionalFormatting sqref="B4:E4 B5:B28 C5:E89 E90:E94 C90:D136 E96:E124 E134:E136 C137:E142 E143 C144:E146">
    <cfRule type="expression" dxfId="179" priority="5">
      <formula>$A4=1</formula>
    </cfRule>
  </conditionalFormatting>
  <conditionalFormatting sqref="C147:C251">
    <cfRule type="timePeriod" dxfId="178" priority="19" timePeriod="yesterday">
      <formula>FLOOR(C147,1)=TODAY()-1</formula>
    </cfRule>
  </conditionalFormatting>
  <conditionalFormatting sqref="D252:D318">
    <cfRule type="expression" dxfId="177" priority="25">
      <formula>#REF!="نعم"</formula>
    </cfRule>
    <cfRule type="expression" dxfId="176" priority="26">
      <formula>$B252=1</formula>
    </cfRule>
  </conditionalFormatting>
  <conditionalFormatting sqref="E95">
    <cfRule type="expression" dxfId="175" priority="7">
      <formula>$A90=1</formula>
    </cfRule>
  </conditionalFormatting>
  <conditionalFormatting sqref="E125:E133">
    <cfRule type="expression" dxfId="174" priority="9">
      <formula>$A127=1</formula>
    </cfRule>
  </conditionalFormatting>
  <conditionalFormatting sqref="E249:E251">
    <cfRule type="expression" dxfId="173" priority="15">
      <formula>#REF!="نعم"</formula>
    </cfRule>
    <cfRule type="expression" dxfId="172" priority="16">
      <formula>$A249=1</formula>
    </cfRule>
  </conditionalFormatting>
  <conditionalFormatting sqref="F1">
    <cfRule type="cellIs" dxfId="171" priority="28" operator="equal">
      <formula>"F1=E1*D1"</formula>
    </cfRule>
  </conditionalFormatting>
  <dataValidations count="4">
    <dataValidation allowBlank="1" showInputMessage="1" showErrorMessage="1" prompt="أدخل وصفاً للعنصر في هذا العمود" sqref="D3" xr:uid="{4DA2084A-118F-40B6-986F-687BEF2C0147}"/>
    <dataValidation allowBlank="1" showInputMessage="1" showErrorMessage="1" prompt="أدخل اسم العنصر في هذا العمود" sqref="C3" xr:uid="{07B09CBF-B16A-40CC-B38C-91D4A411BB01}"/>
    <dataValidation allowBlank="1" showInputMessage="1" showErrorMessage="1" prompt="هذا عمود تلقائي. _x000a__x000a_تشير أيقونة العلامة في هذا العمود إلى العناصر الموجودة في قائمة المخزون والجاهزة لإعادة الطلب. وتظهر أيقونات العلامة فقط عند تحديد القيمة &quot;نعم&quot; في L2 وعندما يتوافق العنصر مع معايير إعادة الطلب." sqref="B3" xr:uid="{B550CF19-F05B-41FC-A667-4C6D836EB794}"/>
    <dataValidation allowBlank="1" showInputMessage="1" showErrorMessage="1" prompt="أدخل كمية المخزون لكل عنصر في هذا العمود" sqref="E3" xr:uid="{9CDDA990-A8F5-4F82-A9AB-CD372C455466}"/>
  </dataValidations>
  <pageMargins left="0.25" right="0.25" top="0.75" bottom="0.75" header="0.3" footer="0.3"/>
  <pageSetup paperSize="9" scale="60" fitToHeight="0" orientation="portrait" r:id="rId1"/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" id="{9BBAEFB3-9AA6-4A6C-9752-516785A52C7B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B4:B89</xm:sqref>
        </x14:conditionalFormatting>
        <x14:conditionalFormatting xmlns:xm="http://schemas.microsoft.com/office/excel/2006/main">
          <x14:cfRule type="iconSet" priority="13" id="{5692EFE5-5690-4931-94FF-AD4DD529F14E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B90:B142 B144:B146</xm:sqref>
        </x14:conditionalFormatting>
        <x14:conditionalFormatting xmlns:xm="http://schemas.microsoft.com/office/excel/2006/main">
          <x14:cfRule type="iconSet" priority="18" id="{5B405301-AB68-48B4-A2DF-2FB26F1022C2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B249:B251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7F41-04D7-4EB0-8E7C-1BDF303D839A}">
  <sheetPr>
    <pageSetUpPr fitToPage="1"/>
  </sheetPr>
  <dimension ref="A1:I425"/>
  <sheetViews>
    <sheetView showGridLines="0" rightToLeft="1" zoomScale="84" zoomScaleNormal="84" workbookViewId="0">
      <selection activeCell="I374" sqref="I374"/>
    </sheetView>
  </sheetViews>
  <sheetFormatPr defaultColWidth="8.59765625" defaultRowHeight="24" customHeight="1" thickTop="1" thickBottom="1" x14ac:dyDescent="0.3"/>
  <cols>
    <col min="1" max="1" width="7.8984375" style="45" customWidth="1"/>
    <col min="2" max="2" width="34.59765625" style="2" customWidth="1"/>
    <col min="3" max="3" width="18.09765625" style="7" customWidth="1"/>
    <col min="4" max="5" width="11.8984375" style="8" customWidth="1"/>
    <col min="6" max="6" width="14.09765625" style="8" customWidth="1"/>
    <col min="7" max="7" width="12.19921875" style="11" customWidth="1"/>
    <col min="8" max="8" width="14.8984375" style="11" customWidth="1"/>
    <col min="9" max="9" width="41.09765625" style="41" customWidth="1"/>
    <col min="10" max="16384" width="8.59765625" style="5"/>
  </cols>
  <sheetData>
    <row r="1" spans="1:9" s="4" customFormat="1" ht="116.25" customHeight="1" thickBot="1" x14ac:dyDescent="0.3">
      <c r="A1" s="196"/>
      <c r="B1" s="197"/>
      <c r="C1" s="6"/>
      <c r="G1" s="12"/>
      <c r="H1" s="12"/>
      <c r="I1" s="34"/>
    </row>
    <row r="2" spans="1:9" ht="23.25" customHeight="1" thickTop="1" thickBot="1" x14ac:dyDescent="0.3">
      <c r="A2" s="47"/>
      <c r="B2" s="9"/>
      <c r="C2" s="13"/>
      <c r="D2" s="14"/>
      <c r="E2" s="14"/>
      <c r="F2" s="14"/>
      <c r="G2" s="15"/>
      <c r="H2" s="15"/>
      <c r="I2" s="35"/>
    </row>
    <row r="3" spans="1:9" s="2" customFormat="1" ht="50.1" customHeight="1" thickTop="1" thickBot="1" x14ac:dyDescent="0.45">
      <c r="A3" s="49" t="s">
        <v>262</v>
      </c>
      <c r="B3" s="68" t="s">
        <v>0</v>
      </c>
      <c r="C3" s="69" t="s">
        <v>3</v>
      </c>
      <c r="D3" s="70" t="s">
        <v>4</v>
      </c>
      <c r="E3" s="107" t="s">
        <v>645</v>
      </c>
      <c r="F3" s="107" t="s">
        <v>646</v>
      </c>
      <c r="G3" s="71" t="s">
        <v>1</v>
      </c>
      <c r="H3" s="71" t="s">
        <v>63</v>
      </c>
      <c r="I3" s="33" t="s">
        <v>520</v>
      </c>
    </row>
    <row r="4" spans="1:9" ht="24" hidden="1" customHeight="1" thickTop="1" thickBot="1" x14ac:dyDescent="0.35">
      <c r="A4" s="48">
        <v>1</v>
      </c>
      <c r="B4" s="144" t="s">
        <v>263</v>
      </c>
      <c r="C4" s="59">
        <v>46223</v>
      </c>
      <c r="D4" s="58">
        <v>1</v>
      </c>
      <c r="E4" s="58"/>
      <c r="F4" s="58">
        <f>Inventory_List_Table58[[#This Row],[الكمية]]-Inventory_List_Table58[[#This Row],[الصادر]]</f>
        <v>1</v>
      </c>
      <c r="G4" s="61">
        <v>0.25</v>
      </c>
      <c r="H4" s="62">
        <f>Inventory_List_Table58[[#This Row],[التكلفة]]*Inventory_List_Table58[[#This Row],[الكمية]]</f>
        <v>0.25</v>
      </c>
      <c r="I4" s="36"/>
    </row>
    <row r="5" spans="1:9" ht="24" hidden="1" customHeight="1" thickTop="1" thickBot="1" x14ac:dyDescent="0.35">
      <c r="A5" s="46">
        <v>2</v>
      </c>
      <c r="B5" s="144" t="s">
        <v>94</v>
      </c>
      <c r="C5" s="59">
        <v>46223</v>
      </c>
      <c r="D5" s="58">
        <v>1</v>
      </c>
      <c r="E5" s="58"/>
      <c r="F5" s="58">
        <f>Inventory_List_Table58[[#This Row],[الكمية]]-Inventory_List_Table58[[#This Row],[الصادر]]</f>
        <v>1</v>
      </c>
      <c r="G5" s="61">
        <v>1.1000000000000001</v>
      </c>
      <c r="H5" s="62">
        <f>Inventory_List_Table58[[#This Row],[التكلفة]]*Inventory_List_Table58[[#This Row],[الكمية]]</f>
        <v>1.1000000000000001</v>
      </c>
      <c r="I5" s="37"/>
    </row>
    <row r="6" spans="1:9" ht="24" hidden="1" customHeight="1" thickTop="1" thickBot="1" x14ac:dyDescent="0.35">
      <c r="A6" s="46">
        <v>3</v>
      </c>
      <c r="B6" s="144" t="s">
        <v>95</v>
      </c>
      <c r="C6" s="59">
        <v>46223</v>
      </c>
      <c r="D6" s="58">
        <v>2</v>
      </c>
      <c r="E6" s="58"/>
      <c r="F6" s="58">
        <f>Inventory_List_Table58[[#This Row],[الكمية]]-Inventory_List_Table58[[#This Row],[الصادر]]</f>
        <v>2</v>
      </c>
      <c r="G6" s="62">
        <v>0.1</v>
      </c>
      <c r="H6" s="62">
        <f>Inventory_List_Table58[[#This Row],[التكلفة]]*Inventory_List_Table58[[#This Row],[الكمية]]</f>
        <v>0.2</v>
      </c>
      <c r="I6" s="37"/>
    </row>
    <row r="7" spans="1:9" ht="24" hidden="1" customHeight="1" thickTop="1" thickBot="1" x14ac:dyDescent="0.35">
      <c r="A7" s="46">
        <v>4</v>
      </c>
      <c r="B7" s="144" t="s">
        <v>96</v>
      </c>
      <c r="C7" s="59">
        <v>46223</v>
      </c>
      <c r="D7" s="58">
        <v>2</v>
      </c>
      <c r="E7" s="58"/>
      <c r="F7" s="58">
        <f>Inventory_List_Table58[[#This Row],[الكمية]]-Inventory_List_Table58[[#This Row],[الصادر]]</f>
        <v>2</v>
      </c>
      <c r="G7" s="61">
        <v>0.12</v>
      </c>
      <c r="H7" s="62">
        <f>Inventory_List_Table58[[#This Row],[التكلفة]]*Inventory_List_Table58[[#This Row],[الكمية]]</f>
        <v>0.24</v>
      </c>
      <c r="I7" s="37"/>
    </row>
    <row r="8" spans="1:9" ht="24" hidden="1" customHeight="1" thickTop="1" thickBot="1" x14ac:dyDescent="0.35">
      <c r="A8" s="46">
        <v>5</v>
      </c>
      <c r="B8" s="145" t="s">
        <v>41</v>
      </c>
      <c r="C8" s="59">
        <v>46223</v>
      </c>
      <c r="D8" s="58">
        <v>1</v>
      </c>
      <c r="E8" s="58"/>
      <c r="F8" s="58">
        <f>Inventory_List_Table58[[#This Row],[الكمية]]-Inventory_List_Table58[[#This Row],[الصادر]]</f>
        <v>1</v>
      </c>
      <c r="G8" s="61">
        <v>0.95</v>
      </c>
      <c r="H8" s="62">
        <f>Inventory_List_Table58[[#This Row],[التكلفة]]*Inventory_List_Table58[[#This Row],[الكمية]]</f>
        <v>0.95</v>
      </c>
      <c r="I8" s="37"/>
    </row>
    <row r="9" spans="1:9" ht="24" hidden="1" customHeight="1" thickTop="1" thickBot="1" x14ac:dyDescent="0.35">
      <c r="A9" s="48">
        <v>6</v>
      </c>
      <c r="B9" s="145" t="s">
        <v>97</v>
      </c>
      <c r="C9" s="59">
        <v>46223</v>
      </c>
      <c r="D9" s="58">
        <v>1</v>
      </c>
      <c r="E9" s="58"/>
      <c r="F9" s="58">
        <f>Inventory_List_Table58[[#This Row],[الكمية]]-Inventory_List_Table58[[#This Row],[الصادر]]</f>
        <v>1</v>
      </c>
      <c r="G9" s="62">
        <v>0.3</v>
      </c>
      <c r="H9" s="62">
        <f>Inventory_List_Table58[[#This Row],[التكلفة]]*Inventory_List_Table58[[#This Row],[الكمية]]</f>
        <v>0.3</v>
      </c>
      <c r="I9" s="37"/>
    </row>
    <row r="10" spans="1:9" ht="24" hidden="1" customHeight="1" thickTop="1" thickBot="1" x14ac:dyDescent="0.35">
      <c r="A10" s="46">
        <v>7</v>
      </c>
      <c r="B10" s="144" t="s">
        <v>16</v>
      </c>
      <c r="C10" s="59">
        <v>46223</v>
      </c>
      <c r="D10" s="58">
        <v>1</v>
      </c>
      <c r="E10" s="58"/>
      <c r="F10" s="58">
        <f>Inventory_List_Table58[[#This Row],[الكمية]]-Inventory_List_Table58[[#This Row],[الصادر]]</f>
        <v>1</v>
      </c>
      <c r="G10" s="61">
        <v>1.1040000000000001</v>
      </c>
      <c r="H10" s="62">
        <f>Inventory_List_Table58[[#This Row],[التكلفة]]*Inventory_List_Table58[[#This Row],[الكمية]]</f>
        <v>1.1040000000000001</v>
      </c>
      <c r="I10" s="37"/>
    </row>
    <row r="11" spans="1:9" ht="24" hidden="1" customHeight="1" thickTop="1" thickBot="1" x14ac:dyDescent="0.35">
      <c r="A11" s="46">
        <v>8</v>
      </c>
      <c r="B11" s="146" t="s">
        <v>578</v>
      </c>
      <c r="C11" s="59">
        <v>46223</v>
      </c>
      <c r="D11" s="58">
        <v>1</v>
      </c>
      <c r="E11" s="58">
        <v>1</v>
      </c>
      <c r="F11" s="58">
        <f>Inventory_List_Table58[[#This Row],[الكمية]]-Inventory_List_Table58[[#This Row],[الصادر]]</f>
        <v>0</v>
      </c>
      <c r="G11" s="61">
        <v>1</v>
      </c>
      <c r="H11" s="62">
        <f>Inventory_List_Table58[[#This Row],[التكلفة]]*Inventory_List_Table58[[#This Row],[الكمية]]</f>
        <v>1</v>
      </c>
      <c r="I11" s="37"/>
    </row>
    <row r="12" spans="1:9" ht="24" hidden="1" customHeight="1" thickTop="1" thickBot="1" x14ac:dyDescent="0.35">
      <c r="A12" s="46">
        <v>9</v>
      </c>
      <c r="B12" s="144" t="s">
        <v>101</v>
      </c>
      <c r="C12" s="59">
        <v>46223</v>
      </c>
      <c r="D12" s="58">
        <v>1</v>
      </c>
      <c r="E12" s="58"/>
      <c r="F12" s="58">
        <f>Inventory_List_Table58[[#This Row],[الكمية]]-Inventory_List_Table58[[#This Row],[الصادر]]</f>
        <v>1</v>
      </c>
      <c r="G12" s="62">
        <v>0.57999999999999996</v>
      </c>
      <c r="H12" s="62">
        <f>Inventory_List_Table58[[#This Row],[التكلفة]]*Inventory_List_Table58[[#This Row],[الكمية]]</f>
        <v>0.57999999999999996</v>
      </c>
      <c r="I12" s="37"/>
    </row>
    <row r="13" spans="1:9" ht="24" hidden="1" customHeight="1" thickTop="1" thickBot="1" x14ac:dyDescent="0.35">
      <c r="A13" s="46">
        <v>10</v>
      </c>
      <c r="B13" s="144" t="s">
        <v>104</v>
      </c>
      <c r="C13" s="59">
        <v>46223</v>
      </c>
      <c r="D13" s="58">
        <v>1</v>
      </c>
      <c r="E13" s="58"/>
      <c r="F13" s="58">
        <f>Inventory_List_Table58[[#This Row],[الكمية]]-Inventory_List_Table58[[#This Row],[الصادر]]</f>
        <v>1</v>
      </c>
      <c r="G13" s="61">
        <v>0.57999999999999996</v>
      </c>
      <c r="H13" s="62">
        <f>Inventory_List_Table58[[#This Row],[التكلفة]]*Inventory_List_Table58[[#This Row],[الكمية]]</f>
        <v>0.57999999999999996</v>
      </c>
      <c r="I13" s="37"/>
    </row>
    <row r="14" spans="1:9" ht="24" hidden="1" customHeight="1" thickTop="1" thickBot="1" x14ac:dyDescent="0.35">
      <c r="A14" s="48">
        <v>11</v>
      </c>
      <c r="B14" s="144" t="s">
        <v>675</v>
      </c>
      <c r="C14" s="59">
        <v>46223</v>
      </c>
      <c r="D14" s="58">
        <v>1</v>
      </c>
      <c r="E14" s="58"/>
      <c r="F14" s="58">
        <f>Inventory_List_Table58[[#This Row],[الكمية]]-Inventory_List_Table58[[#This Row],[الصادر]]</f>
        <v>1</v>
      </c>
      <c r="G14" s="61">
        <v>7.0000000000000007E-2</v>
      </c>
      <c r="H14" s="62">
        <f>Inventory_List_Table58[[#This Row],[التكلفة]]*Inventory_List_Table58[[#This Row],[الكمية]]</f>
        <v>7.0000000000000007E-2</v>
      </c>
      <c r="I14" s="37"/>
    </row>
    <row r="15" spans="1:9" ht="24" hidden="1" customHeight="1" thickTop="1" thickBot="1" x14ac:dyDescent="0.35">
      <c r="A15" s="46">
        <v>12</v>
      </c>
      <c r="B15" s="147" t="s">
        <v>109</v>
      </c>
      <c r="C15" s="59">
        <v>46234</v>
      </c>
      <c r="D15" s="58">
        <v>14</v>
      </c>
      <c r="E15" s="58">
        <v>0</v>
      </c>
      <c r="F15" s="58">
        <f>Inventory_List_Table58[[#This Row],[الكمية]]-Inventory_List_Table58[[#This Row],[الصادر]]</f>
        <v>14</v>
      </c>
      <c r="G15" s="61"/>
      <c r="H15" s="62"/>
      <c r="I15" s="37"/>
    </row>
    <row r="16" spans="1:9" ht="24" hidden="1" customHeight="1" thickTop="1" thickBot="1" x14ac:dyDescent="0.35">
      <c r="A16" s="46">
        <v>13</v>
      </c>
      <c r="B16" s="148" t="s">
        <v>298</v>
      </c>
      <c r="C16" s="59">
        <v>46223</v>
      </c>
      <c r="D16" s="58">
        <v>1</v>
      </c>
      <c r="E16" s="58"/>
      <c r="F16" s="58">
        <f>Inventory_List_Table58[[#This Row],[الكمية]]-Inventory_List_Table58[[#This Row],[الصادر]]</f>
        <v>1</v>
      </c>
      <c r="G16" s="61">
        <v>2.85</v>
      </c>
      <c r="H16" s="62">
        <f>Inventory_List_Table58[[#This Row],[التكلفة]]*Inventory_List_Table58[[#This Row],[الكمية]]</f>
        <v>2.85</v>
      </c>
      <c r="I16" s="37"/>
    </row>
    <row r="17" spans="1:9" ht="24" hidden="1" customHeight="1" thickTop="1" thickBot="1" x14ac:dyDescent="0.35">
      <c r="A17" s="46">
        <v>14</v>
      </c>
      <c r="B17" s="144" t="s">
        <v>117</v>
      </c>
      <c r="C17" s="59">
        <v>46223</v>
      </c>
      <c r="D17" s="58">
        <v>1</v>
      </c>
      <c r="E17" s="58"/>
      <c r="F17" s="58">
        <f>Inventory_List_Table58[[#This Row],[الكمية]]-Inventory_List_Table58[[#This Row],[الصادر]]</f>
        <v>1</v>
      </c>
      <c r="G17" s="62">
        <v>1</v>
      </c>
      <c r="H17" s="62">
        <f>Inventory_List_Table58[[#This Row],[التكلفة]]*Inventory_List_Table58[[#This Row],[الكمية]]</f>
        <v>1</v>
      </c>
      <c r="I17" s="37"/>
    </row>
    <row r="18" spans="1:9" ht="24" hidden="1" customHeight="1" thickTop="1" thickBot="1" x14ac:dyDescent="0.35">
      <c r="A18" s="46">
        <v>15</v>
      </c>
      <c r="B18" s="144" t="s">
        <v>119</v>
      </c>
      <c r="C18" s="59">
        <v>46223</v>
      </c>
      <c r="D18" s="58">
        <v>1</v>
      </c>
      <c r="E18" s="58"/>
      <c r="F18" s="58">
        <f>Inventory_List_Table58[[#This Row],[الكمية]]-Inventory_List_Table58[[#This Row],[الصادر]]</f>
        <v>1</v>
      </c>
      <c r="G18" s="62">
        <v>2.15</v>
      </c>
      <c r="H18" s="62">
        <f>Inventory_List_Table58[[#This Row],[التكلفة]]*Inventory_List_Table58[[#This Row],[الكمية]]</f>
        <v>2.15</v>
      </c>
      <c r="I18" s="37"/>
    </row>
    <row r="19" spans="1:9" ht="24" hidden="1" customHeight="1" thickTop="1" thickBot="1" x14ac:dyDescent="0.35">
      <c r="A19" s="48">
        <v>16</v>
      </c>
      <c r="B19" s="144" t="s">
        <v>121</v>
      </c>
      <c r="C19" s="59">
        <v>46223</v>
      </c>
      <c r="D19" s="58">
        <v>1</v>
      </c>
      <c r="E19" s="58"/>
      <c r="F19" s="58">
        <f>Inventory_List_Table58[[#This Row],[الكمية]]-Inventory_List_Table58[[#This Row],[الصادر]]</f>
        <v>1</v>
      </c>
      <c r="G19" s="61">
        <v>10</v>
      </c>
      <c r="H19" s="62">
        <f>Inventory_List_Table58[[#This Row],[التكلفة]]*Inventory_List_Table58[[#This Row],[الكمية]]</f>
        <v>10</v>
      </c>
      <c r="I19" s="37"/>
    </row>
    <row r="20" spans="1:9" ht="24" hidden="1" customHeight="1" thickTop="1" thickBot="1" x14ac:dyDescent="0.35">
      <c r="A20" s="46">
        <v>17</v>
      </c>
      <c r="B20" s="146" t="s">
        <v>126</v>
      </c>
      <c r="C20" s="59">
        <v>46223</v>
      </c>
      <c r="D20" s="58">
        <v>1</v>
      </c>
      <c r="E20" s="58">
        <v>1</v>
      </c>
      <c r="F20" s="58">
        <f>Inventory_List_Table58[[#This Row],[الكمية]]-Inventory_List_Table58[[#This Row],[الصادر]]</f>
        <v>0</v>
      </c>
      <c r="G20" s="61">
        <v>2</v>
      </c>
      <c r="H20" s="62">
        <f>Inventory_List_Table58[[#This Row],[التكلفة]]*Inventory_List_Table58[[#This Row],[الكمية]]</f>
        <v>2</v>
      </c>
      <c r="I20" s="37"/>
    </row>
    <row r="21" spans="1:9" ht="27.75" hidden="1" customHeight="1" thickTop="1" thickBot="1" x14ac:dyDescent="0.35">
      <c r="A21" s="46">
        <v>18</v>
      </c>
      <c r="B21" s="149" t="s">
        <v>677</v>
      </c>
      <c r="C21" s="59">
        <v>46231</v>
      </c>
      <c r="D21" s="58">
        <v>10</v>
      </c>
      <c r="E21" s="58"/>
      <c r="F21" s="58">
        <f>Inventory_List_Table58[[#This Row],[الكمية]]-Inventory_List_Table58[[#This Row],[الصادر]]</f>
        <v>10</v>
      </c>
      <c r="G21" s="62"/>
      <c r="H21" s="62"/>
      <c r="I21" s="37"/>
    </row>
    <row r="22" spans="1:9" ht="27.75" hidden="1" customHeight="1" thickTop="1" thickBot="1" x14ac:dyDescent="0.35">
      <c r="A22" s="46">
        <v>19</v>
      </c>
      <c r="B22" s="144" t="s">
        <v>149</v>
      </c>
      <c r="C22" s="59">
        <v>46223</v>
      </c>
      <c r="D22" s="58">
        <v>1</v>
      </c>
      <c r="E22" s="58"/>
      <c r="F22" s="58">
        <f>Inventory_List_Table58[[#This Row],[الكمية]]-Inventory_List_Table58[[#This Row],[الصادر]]</f>
        <v>1</v>
      </c>
      <c r="G22" s="62">
        <v>18</v>
      </c>
      <c r="H22" s="62">
        <f>Inventory_List_Table58[[#This Row],[التكلفة]]*Inventory_List_Table58[[#This Row],[الكمية]]</f>
        <v>18</v>
      </c>
      <c r="I22" s="37"/>
    </row>
    <row r="23" spans="1:9" ht="24" hidden="1" customHeight="1" thickTop="1" thickBot="1" x14ac:dyDescent="0.35">
      <c r="A23" s="46">
        <v>20</v>
      </c>
      <c r="B23" s="144" t="s">
        <v>150</v>
      </c>
      <c r="C23" s="59">
        <v>46223</v>
      </c>
      <c r="D23" s="58">
        <v>1</v>
      </c>
      <c r="E23" s="58">
        <v>0</v>
      </c>
      <c r="F23" s="58">
        <f>Inventory_List_Table58[[#This Row],[الكمية]]-Inventory_List_Table58[[#This Row],[الصادر]]</f>
        <v>1</v>
      </c>
      <c r="G23" s="62">
        <v>18</v>
      </c>
      <c r="H23" s="62">
        <f>Inventory_List_Table58[[#This Row],[التكلفة]]*Inventory_List_Table58[[#This Row],[الكمية]]</f>
        <v>18</v>
      </c>
      <c r="I23" s="37"/>
    </row>
    <row r="24" spans="1:9" ht="24" hidden="1" customHeight="1" thickTop="1" thickBot="1" x14ac:dyDescent="0.35">
      <c r="A24" s="48">
        <v>21</v>
      </c>
      <c r="B24" s="144" t="s">
        <v>151</v>
      </c>
      <c r="C24" s="59">
        <v>46223</v>
      </c>
      <c r="D24" s="58">
        <v>1</v>
      </c>
      <c r="E24" s="58">
        <v>1</v>
      </c>
      <c r="F24" s="58">
        <f>Inventory_List_Table58[[#This Row],[الكمية]]-Inventory_List_Table58[[#This Row],[الصادر]]</f>
        <v>0</v>
      </c>
      <c r="G24" s="61">
        <v>18</v>
      </c>
      <c r="H24" s="62">
        <f>Inventory_List_Table58[[#This Row],[التكلفة]]*Inventory_List_Table58[[#This Row],[الكمية]]</f>
        <v>18</v>
      </c>
      <c r="I24" s="37"/>
    </row>
    <row r="25" spans="1:9" ht="24" hidden="1" customHeight="1" thickTop="1" thickBot="1" x14ac:dyDescent="0.35">
      <c r="A25" s="46">
        <v>22</v>
      </c>
      <c r="B25" s="144" t="s">
        <v>152</v>
      </c>
      <c r="C25" s="59">
        <v>46223</v>
      </c>
      <c r="D25" s="58">
        <v>1</v>
      </c>
      <c r="E25" s="58"/>
      <c r="F25" s="58">
        <f>Inventory_List_Table58[[#This Row],[الكمية]]-Inventory_List_Table58[[#This Row],[الصادر]]</f>
        <v>1</v>
      </c>
      <c r="G25" s="61">
        <v>75</v>
      </c>
      <c r="H25" s="62">
        <f>Inventory_List_Table58[[#This Row],[التكلفة]]*Inventory_List_Table58[[#This Row],[الكمية]]</f>
        <v>75</v>
      </c>
      <c r="I25" s="37"/>
    </row>
    <row r="26" spans="1:9" ht="24" hidden="1" customHeight="1" thickTop="1" thickBot="1" x14ac:dyDescent="0.35">
      <c r="A26" s="46">
        <v>23</v>
      </c>
      <c r="B26" s="144" t="s">
        <v>156</v>
      </c>
      <c r="C26" s="59">
        <v>46223</v>
      </c>
      <c r="D26" s="58">
        <v>1</v>
      </c>
      <c r="E26" s="58"/>
      <c r="F26" s="58">
        <f>Inventory_List_Table58[[#This Row],[الكمية]]-Inventory_List_Table58[[#This Row],[الصادر]]</f>
        <v>1</v>
      </c>
      <c r="G26" s="62">
        <v>23</v>
      </c>
      <c r="H26" s="62">
        <f>Inventory_List_Table58[[#This Row],[التكلفة]]*Inventory_List_Table58[[#This Row],[الكمية]]</f>
        <v>23</v>
      </c>
      <c r="I26" s="37"/>
    </row>
    <row r="27" spans="1:9" ht="24" hidden="1" customHeight="1" thickTop="1" thickBot="1" x14ac:dyDescent="0.35">
      <c r="A27" s="46">
        <v>24</v>
      </c>
      <c r="B27" s="144" t="s">
        <v>157</v>
      </c>
      <c r="C27" s="59">
        <v>46223</v>
      </c>
      <c r="D27" s="58">
        <v>1</v>
      </c>
      <c r="E27" s="58"/>
      <c r="F27" s="58">
        <f>Inventory_List_Table58[[#This Row],[الكمية]]-Inventory_List_Table58[[#This Row],[الصادر]]</f>
        <v>1</v>
      </c>
      <c r="G27" s="61">
        <v>23</v>
      </c>
      <c r="H27" s="62">
        <f>Inventory_List_Table58[[#This Row],[التكلفة]]*Inventory_List_Table58[[#This Row],[الكمية]]</f>
        <v>23</v>
      </c>
      <c r="I27" s="37"/>
    </row>
    <row r="28" spans="1:9" ht="24" hidden="1" customHeight="1" thickTop="1" thickBot="1" x14ac:dyDescent="0.35">
      <c r="A28" s="46">
        <v>25</v>
      </c>
      <c r="B28" s="144" t="s">
        <v>158</v>
      </c>
      <c r="C28" s="59">
        <v>46223</v>
      </c>
      <c r="D28" s="58">
        <v>1</v>
      </c>
      <c r="E28" s="58"/>
      <c r="F28" s="58">
        <f>Inventory_List_Table58[[#This Row],[الكمية]]-Inventory_List_Table58[[#This Row],[الصادر]]</f>
        <v>1</v>
      </c>
      <c r="G28" s="61">
        <v>23</v>
      </c>
      <c r="H28" s="62">
        <f>Inventory_List_Table58[[#This Row],[التكلفة]]*Inventory_List_Table58[[#This Row],[الكمية]]</f>
        <v>23</v>
      </c>
      <c r="I28" s="37"/>
    </row>
    <row r="29" spans="1:9" ht="24" hidden="1" customHeight="1" thickTop="1" thickBot="1" x14ac:dyDescent="0.35">
      <c r="A29" s="48">
        <v>26</v>
      </c>
      <c r="B29" s="144" t="s">
        <v>159</v>
      </c>
      <c r="C29" s="59">
        <v>46223</v>
      </c>
      <c r="D29" s="58">
        <v>1</v>
      </c>
      <c r="E29" s="58"/>
      <c r="F29" s="58">
        <f>Inventory_List_Table58[[#This Row],[الكمية]]-Inventory_List_Table58[[#This Row],[الصادر]]</f>
        <v>1</v>
      </c>
      <c r="G29" s="61">
        <v>19</v>
      </c>
      <c r="H29" s="62">
        <f>Inventory_List_Table58[[#This Row],[التكلفة]]*Inventory_List_Table58[[#This Row],[الكمية]]</f>
        <v>19</v>
      </c>
      <c r="I29" s="37"/>
    </row>
    <row r="30" spans="1:9" ht="24" hidden="1" customHeight="1" thickTop="1" thickBot="1" x14ac:dyDescent="0.35">
      <c r="A30" s="46">
        <v>27</v>
      </c>
      <c r="B30" s="144" t="s">
        <v>160</v>
      </c>
      <c r="C30" s="59">
        <v>46223</v>
      </c>
      <c r="D30" s="58">
        <v>1</v>
      </c>
      <c r="E30" s="58"/>
      <c r="F30" s="58">
        <f>Inventory_List_Table58[[#This Row],[الكمية]]-Inventory_List_Table58[[#This Row],[الصادر]]</f>
        <v>1</v>
      </c>
      <c r="G30" s="62">
        <v>19</v>
      </c>
      <c r="H30" s="62">
        <f>Inventory_List_Table58[[#This Row],[التكلفة]]*Inventory_List_Table58[[#This Row],[الكمية]]</f>
        <v>19</v>
      </c>
      <c r="I30" s="37"/>
    </row>
    <row r="31" spans="1:9" ht="24" hidden="1" customHeight="1" thickTop="1" thickBot="1" x14ac:dyDescent="0.35">
      <c r="A31" s="46">
        <v>28</v>
      </c>
      <c r="B31" s="144" t="s">
        <v>579</v>
      </c>
      <c r="C31" s="59">
        <v>46223</v>
      </c>
      <c r="D31" s="58">
        <v>1</v>
      </c>
      <c r="E31" s="58"/>
      <c r="F31" s="58">
        <f>Inventory_List_Table58[[#This Row],[الكمية]]-Inventory_List_Table58[[#This Row],[الصادر]]</f>
        <v>1</v>
      </c>
      <c r="G31" s="62">
        <v>18</v>
      </c>
      <c r="H31" s="62">
        <f>Inventory_List_Table58[[#This Row],[التكلفة]]*Inventory_List_Table58[[#This Row],[الكمية]]</f>
        <v>18</v>
      </c>
      <c r="I31" s="37"/>
    </row>
    <row r="32" spans="1:9" ht="24" hidden="1" customHeight="1" thickTop="1" thickBot="1" x14ac:dyDescent="0.35">
      <c r="A32" s="46">
        <v>29</v>
      </c>
      <c r="B32" s="144" t="s">
        <v>165</v>
      </c>
      <c r="C32" s="59">
        <v>46223</v>
      </c>
      <c r="D32" s="58">
        <v>1</v>
      </c>
      <c r="E32" s="58"/>
      <c r="F32" s="58">
        <f>Inventory_List_Table58[[#This Row],[الكمية]]-Inventory_List_Table58[[#This Row],[الصادر]]</f>
        <v>1</v>
      </c>
      <c r="G32" s="61">
        <v>1.05</v>
      </c>
      <c r="H32" s="62">
        <f>Inventory_List_Table58[[#This Row],[التكلفة]]*Inventory_List_Table58[[#This Row],[الكمية]]</f>
        <v>1.05</v>
      </c>
      <c r="I32" s="37"/>
    </row>
    <row r="33" spans="1:9" ht="24" hidden="1" customHeight="1" thickTop="1" thickBot="1" x14ac:dyDescent="0.35">
      <c r="A33" s="46">
        <v>30</v>
      </c>
      <c r="B33" s="150" t="s">
        <v>170</v>
      </c>
      <c r="C33" s="59">
        <v>46223</v>
      </c>
      <c r="D33" s="58">
        <v>1</v>
      </c>
      <c r="E33" s="58"/>
      <c r="F33" s="58">
        <f>Inventory_List_Table58[[#This Row],[الكمية]]-Inventory_List_Table58[[#This Row],[الصادر]]</f>
        <v>1</v>
      </c>
      <c r="G33" s="62">
        <v>3</v>
      </c>
      <c r="H33" s="62">
        <f>Inventory_List_Table58[[#This Row],[التكلفة]]*Inventory_List_Table58[[#This Row],[الكمية]]</f>
        <v>3</v>
      </c>
      <c r="I33" s="37"/>
    </row>
    <row r="34" spans="1:9" ht="24" hidden="1" customHeight="1" thickTop="1" thickBot="1" x14ac:dyDescent="0.35">
      <c r="A34" s="48">
        <v>31</v>
      </c>
      <c r="B34" s="150" t="s">
        <v>185</v>
      </c>
      <c r="C34" s="59">
        <v>46223</v>
      </c>
      <c r="D34" s="58">
        <v>1</v>
      </c>
      <c r="E34" s="58"/>
      <c r="F34" s="58">
        <f>Inventory_List_Table58[[#This Row],[الكمية]]-Inventory_List_Table58[[#This Row],[الصادر]]</f>
        <v>1</v>
      </c>
      <c r="G34" s="62">
        <v>2.75</v>
      </c>
      <c r="H34" s="62">
        <f>Inventory_List_Table58[[#This Row],[التكلفة]]*Inventory_List_Table58[[#This Row],[الكمية]]</f>
        <v>2.75</v>
      </c>
      <c r="I34" s="37"/>
    </row>
    <row r="35" spans="1:9" ht="24" hidden="1" customHeight="1" thickTop="1" thickBot="1" x14ac:dyDescent="0.35">
      <c r="A35" s="46">
        <v>32</v>
      </c>
      <c r="B35" s="150" t="s">
        <v>17</v>
      </c>
      <c r="C35" s="59">
        <v>46223</v>
      </c>
      <c r="D35" s="58">
        <v>1</v>
      </c>
      <c r="E35" s="58"/>
      <c r="F35" s="58">
        <f>Inventory_List_Table58[[#This Row],[الكمية]]-Inventory_List_Table58[[#This Row],[الصادر]]</f>
        <v>1</v>
      </c>
      <c r="G35" s="62">
        <v>7</v>
      </c>
      <c r="H35" s="62">
        <f>Inventory_List_Table58[[#This Row],[التكلفة]]*Inventory_List_Table58[[#This Row],[الكمية]]</f>
        <v>7</v>
      </c>
      <c r="I35" s="37"/>
    </row>
    <row r="36" spans="1:9" ht="24" hidden="1" customHeight="1" thickTop="1" thickBot="1" x14ac:dyDescent="0.35">
      <c r="A36" s="46">
        <v>33</v>
      </c>
      <c r="B36" s="150" t="s">
        <v>188</v>
      </c>
      <c r="C36" s="59">
        <v>46223</v>
      </c>
      <c r="D36" s="58">
        <v>1</v>
      </c>
      <c r="E36" s="58"/>
      <c r="F36" s="58">
        <f>Inventory_List_Table58[[#This Row],[الكمية]]-Inventory_List_Table58[[#This Row],[الصادر]]</f>
        <v>1</v>
      </c>
      <c r="G36" s="61">
        <v>2.25</v>
      </c>
      <c r="H36" s="62">
        <f>Inventory_List_Table58[[#This Row],[التكلفة]]*Inventory_List_Table58[[#This Row],[الكمية]]</f>
        <v>2.25</v>
      </c>
      <c r="I36" s="37"/>
    </row>
    <row r="37" spans="1:9" ht="24" hidden="1" customHeight="1" thickTop="1" thickBot="1" x14ac:dyDescent="0.35">
      <c r="A37" s="46">
        <v>34</v>
      </c>
      <c r="B37" s="150" t="s">
        <v>191</v>
      </c>
      <c r="C37" s="59">
        <v>46223</v>
      </c>
      <c r="D37" s="58">
        <v>1</v>
      </c>
      <c r="E37" s="58"/>
      <c r="F37" s="58">
        <f>Inventory_List_Table58[[#This Row],[الكمية]]-Inventory_List_Table58[[#This Row],[الصادر]]</f>
        <v>1</v>
      </c>
      <c r="G37" s="61">
        <v>2.5</v>
      </c>
      <c r="H37" s="62">
        <f>Inventory_List_Table58[[#This Row],[التكلفة]]*Inventory_List_Table58[[#This Row],[الكمية]]</f>
        <v>2.5</v>
      </c>
      <c r="I37" s="37"/>
    </row>
    <row r="38" spans="1:9" ht="24" hidden="1" customHeight="1" thickTop="1" thickBot="1" x14ac:dyDescent="0.35">
      <c r="A38" s="46">
        <v>35</v>
      </c>
      <c r="B38" s="151" t="s">
        <v>197</v>
      </c>
      <c r="C38" s="59">
        <v>46223</v>
      </c>
      <c r="D38" s="58">
        <v>1</v>
      </c>
      <c r="E38" s="58"/>
      <c r="F38" s="58">
        <f>Inventory_List_Table58[[#This Row],[الكمية]]-Inventory_List_Table58[[#This Row],[الصادر]]</f>
        <v>1</v>
      </c>
      <c r="G38" s="62">
        <v>0.12</v>
      </c>
      <c r="H38" s="62">
        <f>Inventory_List_Table58[[#This Row],[التكلفة]]*Inventory_List_Table58[[#This Row],[الكمية]]</f>
        <v>0.12</v>
      </c>
      <c r="I38" s="37"/>
    </row>
    <row r="39" spans="1:9" ht="24" hidden="1" customHeight="1" thickTop="1" thickBot="1" x14ac:dyDescent="0.35">
      <c r="A39" s="48">
        <v>36</v>
      </c>
      <c r="B39" s="150" t="s">
        <v>198</v>
      </c>
      <c r="C39" s="59">
        <v>46223</v>
      </c>
      <c r="D39" s="58">
        <v>1</v>
      </c>
      <c r="E39" s="58"/>
      <c r="F39" s="58">
        <f>Inventory_List_Table58[[#This Row],[الكمية]]-Inventory_List_Table58[[#This Row],[الصادر]]</f>
        <v>1</v>
      </c>
      <c r="G39" s="62">
        <v>0.25</v>
      </c>
      <c r="H39" s="62">
        <f>Inventory_List_Table58[[#This Row],[التكلفة]]*Inventory_List_Table58[[#This Row],[الكمية]]</f>
        <v>0.25</v>
      </c>
      <c r="I39" s="37"/>
    </row>
    <row r="40" spans="1:9" ht="24" hidden="1" customHeight="1" thickTop="1" thickBot="1" x14ac:dyDescent="0.35">
      <c r="A40" s="46">
        <v>37</v>
      </c>
      <c r="B40" s="150" t="s">
        <v>200</v>
      </c>
      <c r="C40" s="59">
        <v>46223</v>
      </c>
      <c r="D40" s="58">
        <v>1</v>
      </c>
      <c r="E40" s="58"/>
      <c r="F40" s="58">
        <f>Inventory_List_Table58[[#This Row],[الكمية]]-Inventory_List_Table58[[#This Row],[الصادر]]</f>
        <v>1</v>
      </c>
      <c r="G40" s="61">
        <v>10</v>
      </c>
      <c r="H40" s="62">
        <f>Inventory_List_Table58[[#This Row],[التكلفة]]*Inventory_List_Table58[[#This Row],[الكمية]]</f>
        <v>10</v>
      </c>
      <c r="I40" s="37"/>
    </row>
    <row r="41" spans="1:9" ht="24" hidden="1" customHeight="1" thickTop="1" thickBot="1" x14ac:dyDescent="0.35">
      <c r="A41" s="46">
        <v>38</v>
      </c>
      <c r="B41" s="150" t="s">
        <v>206</v>
      </c>
      <c r="C41" s="59">
        <v>46223</v>
      </c>
      <c r="D41" s="58">
        <v>1</v>
      </c>
      <c r="E41" s="58"/>
      <c r="F41" s="58">
        <f>Inventory_List_Table58[[#This Row],[الكمية]]-Inventory_List_Table58[[#This Row],[الصادر]]</f>
        <v>1</v>
      </c>
      <c r="G41" s="61">
        <v>2.25</v>
      </c>
      <c r="H41" s="62">
        <f>Inventory_List_Table58[[#This Row],[التكلفة]]*Inventory_List_Table58[[#This Row],[الكمية]]</f>
        <v>2.25</v>
      </c>
      <c r="I41" s="37"/>
    </row>
    <row r="42" spans="1:9" ht="24" hidden="1" customHeight="1" thickTop="1" thickBot="1" x14ac:dyDescent="0.35">
      <c r="A42" s="46">
        <v>39</v>
      </c>
      <c r="B42" s="151" t="s">
        <v>211</v>
      </c>
      <c r="C42" s="59">
        <v>46223</v>
      </c>
      <c r="D42" s="58">
        <v>1</v>
      </c>
      <c r="E42" s="58"/>
      <c r="F42" s="58">
        <f>Inventory_List_Table58[[#This Row],[الكمية]]-Inventory_List_Table58[[#This Row],[الصادر]]</f>
        <v>1</v>
      </c>
      <c r="G42" s="62">
        <v>10</v>
      </c>
      <c r="H42" s="62">
        <f>Inventory_List_Table58[[#This Row],[التكلفة]]*Inventory_List_Table58[[#This Row],[الكمية]]</f>
        <v>10</v>
      </c>
      <c r="I42" s="37"/>
    </row>
    <row r="43" spans="1:9" ht="24" hidden="1" customHeight="1" thickTop="1" thickBot="1" x14ac:dyDescent="0.35">
      <c r="A43" s="46">
        <v>40</v>
      </c>
      <c r="B43" s="150" t="s">
        <v>212</v>
      </c>
      <c r="C43" s="59">
        <v>46234</v>
      </c>
      <c r="D43" s="58">
        <v>6</v>
      </c>
      <c r="E43" s="58"/>
      <c r="F43" s="58">
        <f>Inventory_List_Table58[[#This Row],[الكمية]]-Inventory_List_Table58[[#This Row],[الصادر]]</f>
        <v>6</v>
      </c>
      <c r="G43" s="62">
        <v>1.5</v>
      </c>
      <c r="H43" s="62">
        <f>Inventory_List_Table58[[#This Row],[التكلفة]]*Inventory_List_Table58[[#This Row],[الكمية]]</f>
        <v>9</v>
      </c>
      <c r="I43" s="37"/>
    </row>
    <row r="44" spans="1:9" ht="24" hidden="1" customHeight="1" thickTop="1" thickBot="1" x14ac:dyDescent="0.35">
      <c r="A44" s="48">
        <v>41</v>
      </c>
      <c r="B44" s="150" t="s">
        <v>215</v>
      </c>
      <c r="C44" s="59">
        <v>46223</v>
      </c>
      <c r="D44" s="58">
        <v>1</v>
      </c>
      <c r="E44" s="58"/>
      <c r="F44" s="58">
        <f>Inventory_List_Table58[[#This Row],[الكمية]]-Inventory_List_Table58[[#This Row],[الصادر]]</f>
        <v>1</v>
      </c>
      <c r="G44" s="61">
        <v>2.25</v>
      </c>
      <c r="H44" s="62">
        <f>Inventory_List_Table58[[#This Row],[التكلفة]]*Inventory_List_Table58[[#This Row],[الكمية]]</f>
        <v>2.25</v>
      </c>
      <c r="I44" s="37"/>
    </row>
    <row r="45" spans="1:9" ht="24" hidden="1" customHeight="1" thickTop="1" thickBot="1" x14ac:dyDescent="0.35">
      <c r="A45" s="46">
        <v>42</v>
      </c>
      <c r="B45" s="150" t="s">
        <v>216</v>
      </c>
      <c r="C45" s="59">
        <v>46223</v>
      </c>
      <c r="D45" s="58">
        <v>1</v>
      </c>
      <c r="E45" s="58"/>
      <c r="F45" s="58">
        <f>Inventory_List_Table58[[#This Row],[الكمية]]-Inventory_List_Table58[[#This Row],[الصادر]]</f>
        <v>1</v>
      </c>
      <c r="G45" s="62">
        <v>1.25</v>
      </c>
      <c r="H45" s="62">
        <f>Inventory_List_Table58[[#This Row],[التكلفة]]*Inventory_List_Table58[[#This Row],[الكمية]]</f>
        <v>1.25</v>
      </c>
      <c r="I45" s="37"/>
    </row>
    <row r="46" spans="1:9" ht="24" hidden="1" customHeight="1" thickTop="1" thickBot="1" x14ac:dyDescent="0.35">
      <c r="A46" s="46">
        <v>43</v>
      </c>
      <c r="B46" s="150" t="s">
        <v>201</v>
      </c>
      <c r="C46" s="59">
        <v>46223</v>
      </c>
      <c r="D46" s="58">
        <v>1</v>
      </c>
      <c r="E46" s="58"/>
      <c r="F46" s="58">
        <f>Inventory_List_Table58[[#This Row],[الكمية]]-Inventory_List_Table58[[#This Row],[الصادر]]</f>
        <v>1</v>
      </c>
      <c r="G46" s="62">
        <v>1.5</v>
      </c>
      <c r="H46" s="62">
        <f>Inventory_List_Table58[[#This Row],[التكلفة]]*Inventory_List_Table58[[#This Row],[الكمية]]</f>
        <v>1.5</v>
      </c>
      <c r="I46" s="37"/>
    </row>
    <row r="47" spans="1:9" ht="24" hidden="1" customHeight="1" thickTop="1" thickBot="1" x14ac:dyDescent="0.35">
      <c r="A47" s="46">
        <v>44</v>
      </c>
      <c r="B47" s="150" t="s">
        <v>222</v>
      </c>
      <c r="C47" s="59">
        <v>46223</v>
      </c>
      <c r="D47" s="58">
        <v>1</v>
      </c>
      <c r="E47" s="58"/>
      <c r="F47" s="58">
        <f>Inventory_List_Table58[[#This Row],[الكمية]]-Inventory_List_Table58[[#This Row],[الصادر]]</f>
        <v>1</v>
      </c>
      <c r="G47" s="61">
        <v>0.4</v>
      </c>
      <c r="H47" s="62">
        <f>Inventory_List_Table58[[#This Row],[التكلفة]]*Inventory_List_Table58[[#This Row],[الكمية]]</f>
        <v>0.4</v>
      </c>
      <c r="I47" s="37"/>
    </row>
    <row r="48" spans="1:9" ht="24" hidden="1" customHeight="1" thickTop="1" thickBot="1" x14ac:dyDescent="0.35">
      <c r="A48" s="46">
        <v>45</v>
      </c>
      <c r="B48" s="151" t="s">
        <v>226</v>
      </c>
      <c r="C48" s="59">
        <v>46223</v>
      </c>
      <c r="D48" s="58">
        <v>1</v>
      </c>
      <c r="E48" s="58"/>
      <c r="F48" s="58">
        <f>Inventory_List_Table58[[#This Row],[الكمية]]-Inventory_List_Table58[[#This Row],[الصادر]]</f>
        <v>1</v>
      </c>
      <c r="G48" s="61">
        <v>2.2000000000000002</v>
      </c>
      <c r="H48" s="62">
        <f>Inventory_List_Table58[[#This Row],[التكلفة]]*Inventory_List_Table58[[#This Row],[الكمية]]</f>
        <v>2.2000000000000002</v>
      </c>
      <c r="I48" s="37"/>
    </row>
    <row r="49" spans="1:9" ht="24" hidden="1" customHeight="1" thickTop="1" thickBot="1" x14ac:dyDescent="0.35">
      <c r="A49" s="48">
        <v>46</v>
      </c>
      <c r="B49" s="150" t="s">
        <v>227</v>
      </c>
      <c r="C49" s="59">
        <v>46234</v>
      </c>
      <c r="D49" s="58">
        <v>16</v>
      </c>
      <c r="E49" s="58"/>
      <c r="F49" s="58">
        <f>Inventory_List_Table58[[#This Row],[الكمية]]-Inventory_List_Table58[[#This Row],[الصادر]]</f>
        <v>16</v>
      </c>
      <c r="G49" s="61">
        <v>2.7</v>
      </c>
      <c r="H49" s="62">
        <f>Inventory_List_Table58[[#This Row],[التكلفة]]*Inventory_List_Table58[[#This Row],[الكمية]]</f>
        <v>43.2</v>
      </c>
      <c r="I49" s="37"/>
    </row>
    <row r="50" spans="1:9" ht="24" hidden="1" customHeight="1" thickTop="1" thickBot="1" x14ac:dyDescent="0.35">
      <c r="A50" s="46">
        <v>47</v>
      </c>
      <c r="B50" s="151" t="s">
        <v>228</v>
      </c>
      <c r="C50" s="59">
        <v>46223</v>
      </c>
      <c r="D50" s="58">
        <v>1</v>
      </c>
      <c r="E50" s="58"/>
      <c r="F50" s="58">
        <f>Inventory_List_Table58[[#This Row],[الكمية]]-Inventory_List_Table58[[#This Row],[الصادر]]</f>
        <v>1</v>
      </c>
      <c r="G50" s="62">
        <v>0.5</v>
      </c>
      <c r="H50" s="62">
        <f>Inventory_List_Table58[[#This Row],[التكلفة]]*Inventory_List_Table58[[#This Row],[الكمية]]</f>
        <v>0.5</v>
      </c>
      <c r="I50" s="37"/>
    </row>
    <row r="51" spans="1:9" ht="24" hidden="1" customHeight="1" thickTop="1" thickBot="1" x14ac:dyDescent="0.35">
      <c r="A51" s="46">
        <v>48</v>
      </c>
      <c r="B51" s="150" t="s">
        <v>229</v>
      </c>
      <c r="C51" s="59">
        <v>46223</v>
      </c>
      <c r="D51" s="58">
        <v>1</v>
      </c>
      <c r="E51" s="58"/>
      <c r="F51" s="58">
        <f>Inventory_List_Table58[[#This Row],[الكمية]]-Inventory_List_Table58[[#This Row],[الصادر]]</f>
        <v>1</v>
      </c>
      <c r="G51" s="61">
        <v>0.6</v>
      </c>
      <c r="H51" s="62">
        <f>Inventory_List_Table58[[#This Row],[التكلفة]]*Inventory_List_Table58[[#This Row],[الكمية]]</f>
        <v>0.6</v>
      </c>
      <c r="I51" s="37"/>
    </row>
    <row r="52" spans="1:9" ht="24" hidden="1" customHeight="1" thickTop="1" thickBot="1" x14ac:dyDescent="0.35">
      <c r="A52" s="46">
        <v>49</v>
      </c>
      <c r="B52" s="151" t="s">
        <v>234</v>
      </c>
      <c r="C52" s="59">
        <v>46223</v>
      </c>
      <c r="D52" s="58">
        <v>1</v>
      </c>
      <c r="E52" s="58"/>
      <c r="F52" s="58">
        <f>Inventory_List_Table58[[#This Row],[الكمية]]-Inventory_List_Table58[[#This Row],[الصادر]]</f>
        <v>1</v>
      </c>
      <c r="G52" s="62">
        <v>1.9</v>
      </c>
      <c r="H52" s="62">
        <f>Inventory_List_Table58[[#This Row],[التكلفة]]*Inventory_List_Table58[[#This Row],[الكمية]]</f>
        <v>1.9</v>
      </c>
      <c r="I52" s="37"/>
    </row>
    <row r="53" spans="1:9" ht="24" hidden="1" customHeight="1" thickTop="1" thickBot="1" x14ac:dyDescent="0.35">
      <c r="A53" s="46">
        <v>50</v>
      </c>
      <c r="B53" s="151" t="s">
        <v>235</v>
      </c>
      <c r="C53" s="59">
        <v>46223</v>
      </c>
      <c r="D53" s="58">
        <v>1</v>
      </c>
      <c r="E53" s="58"/>
      <c r="F53" s="58">
        <f>Inventory_List_Table58[[#This Row],[الكمية]]-Inventory_List_Table58[[#This Row],[الصادر]]</f>
        <v>1</v>
      </c>
      <c r="G53" s="61">
        <v>2.2000000000000002</v>
      </c>
      <c r="H53" s="62">
        <f>Inventory_List_Table58[[#This Row],[التكلفة]]*Inventory_List_Table58[[#This Row],[الكمية]]</f>
        <v>2.2000000000000002</v>
      </c>
      <c r="I53" s="37"/>
    </row>
    <row r="54" spans="1:9" ht="24" hidden="1" customHeight="1" thickTop="1" thickBot="1" x14ac:dyDescent="0.35">
      <c r="A54" s="48">
        <v>51</v>
      </c>
      <c r="B54" s="150" t="s">
        <v>236</v>
      </c>
      <c r="C54" s="59">
        <v>46223</v>
      </c>
      <c r="D54" s="58">
        <v>1</v>
      </c>
      <c r="E54" s="58"/>
      <c r="F54" s="58">
        <f>Inventory_List_Table58[[#This Row],[الكمية]]-Inventory_List_Table58[[#This Row],[الصادر]]</f>
        <v>1</v>
      </c>
      <c r="G54" s="61">
        <v>2.6</v>
      </c>
      <c r="H54" s="62">
        <f>Inventory_List_Table58[[#This Row],[التكلفة]]*Inventory_List_Table58[[#This Row],[الكمية]]</f>
        <v>2.6</v>
      </c>
      <c r="I54" s="37"/>
    </row>
    <row r="55" spans="1:9" ht="24" hidden="1" customHeight="1" thickTop="1" thickBot="1" x14ac:dyDescent="0.35">
      <c r="A55" s="46">
        <v>52</v>
      </c>
      <c r="B55" s="150" t="s">
        <v>238</v>
      </c>
      <c r="C55" s="59">
        <v>46223</v>
      </c>
      <c r="D55" s="58">
        <v>1</v>
      </c>
      <c r="E55" s="58"/>
      <c r="F55" s="58">
        <f>Inventory_List_Table58[[#This Row],[الكمية]]-Inventory_List_Table58[[#This Row],[الصادر]]</f>
        <v>1</v>
      </c>
      <c r="G55" s="62">
        <v>2.6</v>
      </c>
      <c r="H55" s="62">
        <f>Inventory_List_Table58[[#This Row],[التكلفة]]*Inventory_List_Table58[[#This Row],[الكمية]]</f>
        <v>2.6</v>
      </c>
      <c r="I55" s="37"/>
    </row>
    <row r="56" spans="1:9" ht="24" customHeight="1" thickTop="1" thickBot="1" x14ac:dyDescent="0.35">
      <c r="A56" s="46">
        <v>53</v>
      </c>
      <c r="B56" s="151" t="s">
        <v>253</v>
      </c>
      <c r="C56" s="59">
        <v>46234</v>
      </c>
      <c r="D56" s="58">
        <v>11</v>
      </c>
      <c r="E56" s="58"/>
      <c r="F56" s="58">
        <f>Inventory_List_Table58[[#This Row],[الكمية]]-Inventory_List_Table58[[#This Row],[الصادر]]</f>
        <v>11</v>
      </c>
      <c r="G56" s="62">
        <v>0.65</v>
      </c>
      <c r="H56" s="62">
        <f>Inventory_List_Table58[[#This Row],[التكلفة]]*Inventory_List_Table58[[#This Row],[الكمية]]</f>
        <v>7.15</v>
      </c>
      <c r="I56" s="37"/>
    </row>
    <row r="57" spans="1:9" ht="24" customHeight="1" thickTop="1" thickBot="1" x14ac:dyDescent="0.35">
      <c r="A57" s="46">
        <v>54</v>
      </c>
      <c r="B57" s="195" t="s">
        <v>254</v>
      </c>
      <c r="C57" s="59">
        <v>46223</v>
      </c>
      <c r="D57" s="58">
        <v>2</v>
      </c>
      <c r="E57" s="58"/>
      <c r="F57" s="58">
        <f>Inventory_List_Table58[[#This Row],[الكمية]]-Inventory_List_Table58[[#This Row],[الصادر]]</f>
        <v>2</v>
      </c>
      <c r="G57" s="61">
        <v>0.35</v>
      </c>
      <c r="H57" s="62">
        <f>Inventory_List_Table58[[#This Row],[التكلفة]]*Inventory_List_Table58[[#This Row],[الكمية]]</f>
        <v>0.7</v>
      </c>
      <c r="I57" s="37"/>
    </row>
    <row r="58" spans="1:9" ht="24" hidden="1" customHeight="1" thickTop="1" thickBot="1" x14ac:dyDescent="0.35">
      <c r="A58" s="46">
        <v>55</v>
      </c>
      <c r="B58" s="150" t="s">
        <v>257</v>
      </c>
      <c r="C58" s="59">
        <v>46223</v>
      </c>
      <c r="D58" s="58">
        <v>1</v>
      </c>
      <c r="E58" s="58"/>
      <c r="F58" s="58">
        <f>Inventory_List_Table58[[#This Row],[الكمية]]-Inventory_List_Table58[[#This Row],[الصادر]]</f>
        <v>1</v>
      </c>
      <c r="G58" s="61">
        <v>1.35</v>
      </c>
      <c r="H58" s="62">
        <f>Inventory_List_Table58[[#This Row],[التكلفة]]*Inventory_List_Table58[[#This Row],[الكمية]]</f>
        <v>1.35</v>
      </c>
      <c r="I58" s="37"/>
    </row>
    <row r="59" spans="1:9" ht="24" hidden="1" customHeight="1" thickTop="1" thickBot="1" x14ac:dyDescent="0.35">
      <c r="A59" s="48">
        <v>56</v>
      </c>
      <c r="B59" s="152" t="s">
        <v>266</v>
      </c>
      <c r="C59" s="59">
        <v>46223</v>
      </c>
      <c r="D59" s="58">
        <v>1</v>
      </c>
      <c r="E59" s="58"/>
      <c r="F59" s="58">
        <f>Inventory_List_Table58[[#This Row],[الكمية]]-Inventory_List_Table58[[#This Row],[الصادر]]</f>
        <v>1</v>
      </c>
      <c r="G59" s="61">
        <v>4</v>
      </c>
      <c r="H59" s="62">
        <f>Inventory_List_Table58[[#This Row],[التكلفة]]*Inventory_List_Table58[[#This Row],[الكمية]]</f>
        <v>4</v>
      </c>
      <c r="I59" s="37"/>
    </row>
    <row r="60" spans="1:9" ht="24" hidden="1" customHeight="1" thickTop="1" thickBot="1" x14ac:dyDescent="0.35">
      <c r="A60" s="46">
        <v>57</v>
      </c>
      <c r="B60" s="152" t="s">
        <v>267</v>
      </c>
      <c r="C60" s="59">
        <v>46223</v>
      </c>
      <c r="D60" s="58">
        <v>1</v>
      </c>
      <c r="E60" s="58"/>
      <c r="F60" s="58">
        <f>Inventory_List_Table58[[#This Row],[الكمية]]-Inventory_List_Table58[[#This Row],[الصادر]]</f>
        <v>1</v>
      </c>
      <c r="G60" s="61">
        <v>3.8</v>
      </c>
      <c r="H60" s="62">
        <f>Inventory_List_Table58[[#This Row],[التكلفة]]*Inventory_List_Table58[[#This Row],[الكمية]]</f>
        <v>3.8</v>
      </c>
      <c r="I60" s="37"/>
    </row>
    <row r="61" spans="1:9" ht="24" hidden="1" customHeight="1" thickTop="1" thickBot="1" x14ac:dyDescent="0.35">
      <c r="A61" s="46">
        <v>58</v>
      </c>
      <c r="B61" s="152" t="s">
        <v>268</v>
      </c>
      <c r="C61" s="59">
        <v>46231</v>
      </c>
      <c r="D61" s="58">
        <v>12</v>
      </c>
      <c r="E61" s="58"/>
      <c r="F61" s="58">
        <f>Inventory_List_Table58[[#This Row],[الكمية]]-Inventory_List_Table58[[#This Row],[الصادر]]</f>
        <v>12</v>
      </c>
      <c r="G61" s="61">
        <v>1.35</v>
      </c>
      <c r="H61" s="62">
        <f>Inventory_List_Table58[[#This Row],[التكلفة]]*Inventory_List_Table58[[#This Row],[الكمية]]</f>
        <v>16.200000000000003</v>
      </c>
      <c r="I61" s="37"/>
    </row>
    <row r="62" spans="1:9" ht="24" hidden="1" customHeight="1" thickTop="1" thickBot="1" x14ac:dyDescent="0.35">
      <c r="A62" s="46">
        <v>59</v>
      </c>
      <c r="B62" s="152"/>
      <c r="C62" s="59"/>
      <c r="D62" s="58"/>
      <c r="E62" s="58"/>
      <c r="F62" s="58"/>
      <c r="G62" s="61"/>
      <c r="H62" s="62"/>
      <c r="I62" s="37"/>
    </row>
    <row r="63" spans="1:9" ht="24" hidden="1" customHeight="1" thickTop="1" thickBot="1" x14ac:dyDescent="0.35">
      <c r="A63" s="46">
        <v>60</v>
      </c>
      <c r="B63" s="152" t="s">
        <v>449</v>
      </c>
      <c r="C63" s="59">
        <v>46223</v>
      </c>
      <c r="D63" s="58">
        <v>1</v>
      </c>
      <c r="E63" s="58"/>
      <c r="F63" s="58">
        <f>Inventory_List_Table58[[#This Row],[الكمية]]-Inventory_List_Table58[[#This Row],[الصادر]]</f>
        <v>1</v>
      </c>
      <c r="G63" s="61">
        <v>0.9</v>
      </c>
      <c r="H63" s="62">
        <f>Inventory_List_Table58[[#This Row],[التكلفة]]*Inventory_List_Table58[[#This Row],[الكمية]]</f>
        <v>0.9</v>
      </c>
      <c r="I63" s="37"/>
    </row>
    <row r="64" spans="1:9" ht="24" hidden="1" customHeight="1" thickTop="1" thickBot="1" x14ac:dyDescent="0.35">
      <c r="A64" s="48">
        <v>61</v>
      </c>
      <c r="B64" s="153" t="s">
        <v>202</v>
      </c>
      <c r="C64" s="59">
        <v>46223</v>
      </c>
      <c r="D64" s="58">
        <v>1</v>
      </c>
      <c r="E64" s="58"/>
      <c r="F64" s="58">
        <f>Inventory_List_Table58[[#This Row],[الكمية]]-Inventory_List_Table58[[#This Row],[الصادر]]</f>
        <v>1</v>
      </c>
      <c r="G64" s="61">
        <v>10</v>
      </c>
      <c r="H64" s="62">
        <f>Inventory_List_Table58[[#This Row],[التكلفة]]*Inventory_List_Table58[[#This Row],[الكمية]]</f>
        <v>10</v>
      </c>
      <c r="I64" s="37"/>
    </row>
    <row r="65" spans="1:9" ht="24" hidden="1" customHeight="1" thickTop="1" thickBot="1" x14ac:dyDescent="0.35">
      <c r="A65" s="46">
        <v>62</v>
      </c>
      <c r="B65" s="154" t="s">
        <v>508</v>
      </c>
      <c r="C65" s="59">
        <v>46223</v>
      </c>
      <c r="D65" s="119">
        <v>1</v>
      </c>
      <c r="E65" s="119"/>
      <c r="F65" s="119">
        <f>Inventory_List_Table58[[#This Row],[الكمية]]-Inventory_List_Table58[[#This Row],[الصادر]]</f>
        <v>1</v>
      </c>
      <c r="G65" s="61">
        <v>1</v>
      </c>
      <c r="H65" s="62">
        <f>Inventory_List_Table58[[#This Row],[التكلفة]]*Inventory_List_Table58[[#This Row],[الكمية]]</f>
        <v>1</v>
      </c>
      <c r="I65" s="37"/>
    </row>
    <row r="66" spans="1:9" ht="24" hidden="1" customHeight="1" thickTop="1" thickBot="1" x14ac:dyDescent="0.35">
      <c r="A66" s="46">
        <v>63</v>
      </c>
      <c r="B66" s="155" t="s">
        <v>580</v>
      </c>
      <c r="C66" s="59">
        <v>46223</v>
      </c>
      <c r="D66" s="119">
        <v>2</v>
      </c>
      <c r="E66" s="119"/>
      <c r="F66" s="119">
        <f>Inventory_List_Table58[[#This Row],[الكمية]]-Inventory_List_Table58[[#This Row],[الصادر]]</f>
        <v>2</v>
      </c>
      <c r="G66" s="61">
        <v>0.35</v>
      </c>
      <c r="H66" s="62">
        <f>Inventory_List_Table58[[#This Row],[التكلفة]]*Inventory_List_Table58[[#This Row],[الكمية]]</f>
        <v>0.7</v>
      </c>
      <c r="I66" s="37"/>
    </row>
    <row r="67" spans="1:9" ht="24" hidden="1" customHeight="1" thickTop="1" thickBot="1" x14ac:dyDescent="0.35">
      <c r="A67" s="46">
        <v>64</v>
      </c>
      <c r="B67" s="155" t="s">
        <v>581</v>
      </c>
      <c r="C67" s="59">
        <v>46223</v>
      </c>
      <c r="D67" s="119">
        <v>1</v>
      </c>
      <c r="E67" s="119"/>
      <c r="F67" s="119">
        <f>Inventory_List_Table58[[#This Row],[الكمية]]-Inventory_List_Table58[[#This Row],[الصادر]]</f>
        <v>1</v>
      </c>
      <c r="G67" s="61">
        <v>0.17</v>
      </c>
      <c r="H67" s="62">
        <f>Inventory_List_Table58[[#This Row],[التكلفة]]*Inventory_List_Table58[[#This Row],[الكمية]]</f>
        <v>0.17</v>
      </c>
      <c r="I67" s="37"/>
    </row>
    <row r="68" spans="1:9" ht="24" hidden="1" customHeight="1" thickTop="1" thickBot="1" x14ac:dyDescent="0.35">
      <c r="A68" s="46">
        <v>65</v>
      </c>
      <c r="B68" s="152" t="s">
        <v>128</v>
      </c>
      <c r="C68" s="59">
        <v>46223</v>
      </c>
      <c r="D68" s="58">
        <v>1</v>
      </c>
      <c r="E68" s="58"/>
      <c r="F68" s="58">
        <f>Inventory_List_Table58[[#This Row],[الكمية]]-Inventory_List_Table58[[#This Row],[الصادر]]</f>
        <v>1</v>
      </c>
      <c r="G68" s="61">
        <v>13</v>
      </c>
      <c r="H68" s="62">
        <f>Inventory_List_Table58[[#This Row],[التكلفة]]*Inventory_List_Table58[[#This Row],[الكمية]]</f>
        <v>13</v>
      </c>
      <c r="I68" s="37"/>
    </row>
    <row r="69" spans="1:9" ht="24" hidden="1" customHeight="1" thickTop="1" thickBot="1" x14ac:dyDescent="0.35">
      <c r="A69" s="48">
        <v>66</v>
      </c>
      <c r="B69" s="156" t="s">
        <v>335</v>
      </c>
      <c r="C69" s="59">
        <v>46225</v>
      </c>
      <c r="D69" s="58">
        <v>1</v>
      </c>
      <c r="E69" s="58"/>
      <c r="F69" s="58">
        <f>Inventory_List_Table58[[#This Row],[الكمية]]-Inventory_List_Table58[[#This Row],[الصادر]]</f>
        <v>1</v>
      </c>
      <c r="G69" s="61">
        <v>12</v>
      </c>
      <c r="H69" s="62">
        <f>Inventory_List_Table58[[#This Row],[التكلفة]]*Inventory_List_Table58[[#This Row],[الكمية]]</f>
        <v>12</v>
      </c>
      <c r="I69" s="37"/>
    </row>
    <row r="70" spans="1:9" ht="24" hidden="1" customHeight="1" thickTop="1" thickBot="1" x14ac:dyDescent="0.35">
      <c r="A70" s="46">
        <v>67</v>
      </c>
      <c r="B70" s="156" t="s">
        <v>327</v>
      </c>
      <c r="C70" s="59">
        <v>46225</v>
      </c>
      <c r="D70" s="58">
        <v>2</v>
      </c>
      <c r="E70" s="58"/>
      <c r="F70" s="58">
        <f>Inventory_List_Table58[[#This Row],[الكمية]]-Inventory_List_Table58[[#This Row],[الصادر]]</f>
        <v>2</v>
      </c>
      <c r="G70" s="61">
        <v>12</v>
      </c>
      <c r="H70" s="62">
        <f>Inventory_List_Table58[[#This Row],[التكلفة]]*Inventory_List_Table58[[#This Row],[الكمية]]</f>
        <v>24</v>
      </c>
      <c r="I70" s="37"/>
    </row>
    <row r="71" spans="1:9" ht="24" hidden="1" customHeight="1" thickTop="1" thickBot="1" x14ac:dyDescent="0.35">
      <c r="A71" s="46">
        <v>68</v>
      </c>
      <c r="B71" s="156" t="s">
        <v>349</v>
      </c>
      <c r="C71" s="59">
        <v>46225</v>
      </c>
      <c r="D71" s="58">
        <v>1</v>
      </c>
      <c r="E71" s="58"/>
      <c r="F71" s="58">
        <f>Inventory_List_Table58[[#This Row],[الكمية]]-Inventory_List_Table58[[#This Row],[الصادر]]</f>
        <v>1</v>
      </c>
      <c r="G71" s="61">
        <v>12</v>
      </c>
      <c r="H71" s="62">
        <f>Inventory_List_Table58[[#This Row],[التكلفة]]*Inventory_List_Table58[[#This Row],[الكمية]]</f>
        <v>12</v>
      </c>
      <c r="I71" s="37"/>
    </row>
    <row r="72" spans="1:9" ht="24" hidden="1" customHeight="1" thickTop="1" thickBot="1" x14ac:dyDescent="0.35">
      <c r="A72" s="46">
        <v>69</v>
      </c>
      <c r="B72" s="148" t="s">
        <v>600</v>
      </c>
      <c r="C72" s="65">
        <v>46229</v>
      </c>
      <c r="D72" s="81">
        <v>1</v>
      </c>
      <c r="E72" s="81"/>
      <c r="F72" s="81">
        <f>Inventory_List_Table58[[#This Row],[الكمية]]-Inventory_List_Table58[[#This Row],[الصادر]]</f>
        <v>1</v>
      </c>
      <c r="G72" s="82">
        <v>4</v>
      </c>
      <c r="H72" s="62">
        <f>Inventory_List_Table58[[#This Row],[التكلفة]]*Inventory_List_Table58[[#This Row],[الكمية]]</f>
        <v>4</v>
      </c>
      <c r="I72" s="37"/>
    </row>
    <row r="73" spans="1:9" ht="24" hidden="1" customHeight="1" thickTop="1" thickBot="1" x14ac:dyDescent="0.35">
      <c r="A73" s="46">
        <v>70</v>
      </c>
      <c r="B73" s="156" t="s">
        <v>438</v>
      </c>
      <c r="C73" s="65">
        <v>46229</v>
      </c>
      <c r="D73" s="81">
        <v>1</v>
      </c>
      <c r="E73" s="81">
        <v>1</v>
      </c>
      <c r="F73" s="81">
        <f>Inventory_List_Table58[[#This Row],[الكمية]]-Inventory_List_Table58[[#This Row],[الصادر]]</f>
        <v>0</v>
      </c>
      <c r="G73" s="62">
        <v>9.5</v>
      </c>
      <c r="H73" s="62">
        <f>Inventory_List_Table58[[#This Row],[التكلفة]]*Inventory_List_Table58[[#This Row],[الكمية]]</f>
        <v>9.5</v>
      </c>
      <c r="I73" s="37"/>
    </row>
    <row r="74" spans="1:9" ht="24" hidden="1" customHeight="1" thickTop="1" thickBot="1" x14ac:dyDescent="0.35">
      <c r="A74" s="48">
        <v>71</v>
      </c>
      <c r="B74" s="157" t="s">
        <v>614</v>
      </c>
      <c r="C74" s="65">
        <v>46229</v>
      </c>
      <c r="D74" s="108">
        <v>100</v>
      </c>
      <c r="E74" s="108"/>
      <c r="F74" s="108">
        <f>Inventory_List_Table58[[#This Row],[الكمية]]-Inventory_List_Table58[[#This Row],[الصادر]]</f>
        <v>100</v>
      </c>
      <c r="G74" s="110">
        <v>0.1</v>
      </c>
      <c r="H74" s="62">
        <f>Inventory_List_Table58[[#This Row],[التكلفة]]*Inventory_List_Table58[[#This Row],[الكمية]]</f>
        <v>10</v>
      </c>
      <c r="I74" s="37"/>
    </row>
    <row r="75" spans="1:9" ht="24" hidden="1" customHeight="1" thickTop="1" thickBot="1" x14ac:dyDescent="0.35">
      <c r="A75" s="46">
        <v>72</v>
      </c>
      <c r="B75" s="158" t="s">
        <v>615</v>
      </c>
      <c r="C75" s="65">
        <v>46229</v>
      </c>
      <c r="D75" s="108">
        <v>1</v>
      </c>
      <c r="E75" s="108"/>
      <c r="F75" s="108">
        <f>Inventory_List_Table58[[#This Row],[الكمية]]-Inventory_List_Table58[[#This Row],[الصادر]]</f>
        <v>1</v>
      </c>
      <c r="G75" s="110">
        <v>9.5</v>
      </c>
      <c r="H75" s="62">
        <f>Inventory_List_Table58[[#This Row],[التكلفة]]*Inventory_List_Table58[[#This Row],[الكمية]]</f>
        <v>9.5</v>
      </c>
      <c r="I75" s="37"/>
    </row>
    <row r="76" spans="1:9" ht="24" hidden="1" customHeight="1" thickTop="1" thickBot="1" x14ac:dyDescent="0.35">
      <c r="A76" s="46">
        <v>73</v>
      </c>
      <c r="B76" s="158" t="s">
        <v>616</v>
      </c>
      <c r="C76" s="65">
        <v>46229</v>
      </c>
      <c r="D76" s="108">
        <v>1</v>
      </c>
      <c r="E76" s="108">
        <v>1</v>
      </c>
      <c r="F76" s="108">
        <f>Inventory_List_Table58[[#This Row],[الكمية]]-Inventory_List_Table58[[#This Row],[الصادر]]</f>
        <v>0</v>
      </c>
      <c r="G76" s="110">
        <v>7.5</v>
      </c>
      <c r="H76" s="62">
        <f>Inventory_List_Table58[[#This Row],[التكلفة]]*Inventory_List_Table58[[#This Row],[الكمية]]</f>
        <v>7.5</v>
      </c>
      <c r="I76" s="37"/>
    </row>
    <row r="77" spans="1:9" ht="24" hidden="1" customHeight="1" thickTop="1" thickBot="1" x14ac:dyDescent="0.35">
      <c r="A77" s="46">
        <v>74</v>
      </c>
      <c r="B77" s="159" t="s">
        <v>617</v>
      </c>
      <c r="C77" s="65">
        <v>46229</v>
      </c>
      <c r="D77" s="81">
        <v>2</v>
      </c>
      <c r="E77" s="81"/>
      <c r="F77" s="81">
        <f>Inventory_List_Table58[[#This Row],[الكمية]]-Inventory_List_Table58[[#This Row],[الصادر]]</f>
        <v>2</v>
      </c>
      <c r="G77" s="110">
        <v>4</v>
      </c>
      <c r="H77" s="62">
        <f>Inventory_List_Table58[[#This Row],[التكلفة]]*Inventory_List_Table58[[#This Row],[الكمية]]</f>
        <v>8</v>
      </c>
      <c r="I77" s="37"/>
    </row>
    <row r="78" spans="1:9" ht="24" hidden="1" customHeight="1" thickTop="1" thickBot="1" x14ac:dyDescent="0.35">
      <c r="A78" s="46">
        <v>75</v>
      </c>
      <c r="B78" s="159" t="s">
        <v>618</v>
      </c>
      <c r="C78" s="65">
        <v>46229</v>
      </c>
      <c r="D78" s="81">
        <v>2</v>
      </c>
      <c r="E78" s="81"/>
      <c r="F78" s="81">
        <f>Inventory_List_Table58[[#This Row],[الكمية]]-Inventory_List_Table58[[#This Row],[الصادر]]</f>
        <v>2</v>
      </c>
      <c r="G78" s="82">
        <v>4</v>
      </c>
      <c r="H78" s="62">
        <f>Inventory_List_Table58[[#This Row],[التكلفة]]*Inventory_List_Table58[[#This Row],[الكمية]]</f>
        <v>8</v>
      </c>
      <c r="I78" s="37"/>
    </row>
    <row r="79" spans="1:9" ht="24" hidden="1" customHeight="1" thickTop="1" thickBot="1" x14ac:dyDescent="0.35">
      <c r="A79" s="48">
        <v>76</v>
      </c>
      <c r="B79" s="159" t="s">
        <v>619</v>
      </c>
      <c r="C79" s="65">
        <v>46229</v>
      </c>
      <c r="D79" s="81">
        <v>2</v>
      </c>
      <c r="E79" s="81">
        <v>2</v>
      </c>
      <c r="F79" s="81">
        <f>Inventory_List_Table58[[#This Row],[الكمية]]-Inventory_List_Table58[[#This Row],[الصادر]]</f>
        <v>0</v>
      </c>
      <c r="G79" s="62">
        <v>7</v>
      </c>
      <c r="H79" s="62">
        <f>Inventory_List_Table58[[#This Row],[التكلفة]]*Inventory_List_Table58[[#This Row],[الكمية]]</f>
        <v>14</v>
      </c>
      <c r="I79" s="37"/>
    </row>
    <row r="80" spans="1:9" ht="24" hidden="1" customHeight="1" thickTop="1" thickBot="1" x14ac:dyDescent="0.35">
      <c r="A80" s="46">
        <v>77</v>
      </c>
      <c r="B80" s="159" t="s">
        <v>620</v>
      </c>
      <c r="C80" s="65">
        <v>46229</v>
      </c>
      <c r="D80" s="84">
        <v>2</v>
      </c>
      <c r="E80" s="84">
        <v>2</v>
      </c>
      <c r="F80" s="84">
        <f>Inventory_List_Table58[[#This Row],[الكمية]]-Inventory_List_Table58[[#This Row],[الصادر]]</f>
        <v>0</v>
      </c>
      <c r="G80" s="82">
        <v>7</v>
      </c>
      <c r="H80" s="62">
        <f>Inventory_List_Table58[[#This Row],[التكلفة]]*Inventory_List_Table58[[#This Row],[الكمية]]</f>
        <v>14</v>
      </c>
      <c r="I80" s="37"/>
    </row>
    <row r="81" spans="1:9" ht="24" hidden="1" customHeight="1" thickTop="1" thickBot="1" x14ac:dyDescent="0.35">
      <c r="A81" s="46">
        <v>78</v>
      </c>
      <c r="B81" s="159" t="s">
        <v>621</v>
      </c>
      <c r="C81" s="65">
        <v>46229</v>
      </c>
      <c r="D81" s="81">
        <v>2</v>
      </c>
      <c r="E81" s="81">
        <v>2</v>
      </c>
      <c r="F81" s="81">
        <f>Inventory_List_Table58[[#This Row],[الكمية]]-Inventory_List_Table58[[#This Row],[الصادر]]</f>
        <v>0</v>
      </c>
      <c r="G81" s="82">
        <v>7</v>
      </c>
      <c r="H81" s="62">
        <f>Inventory_List_Table58[[#This Row],[التكلفة]]*Inventory_List_Table58[[#This Row],[الكمية]]</f>
        <v>14</v>
      </c>
      <c r="I81" s="37"/>
    </row>
    <row r="82" spans="1:9" ht="24" hidden="1" customHeight="1" thickTop="1" thickBot="1" x14ac:dyDescent="0.35">
      <c r="A82" s="46">
        <v>79</v>
      </c>
      <c r="B82" s="148" t="s">
        <v>146</v>
      </c>
      <c r="C82" s="59">
        <v>46231</v>
      </c>
      <c r="D82" s="58">
        <v>3</v>
      </c>
      <c r="E82" s="58">
        <v>1</v>
      </c>
      <c r="F82" s="58">
        <f>Inventory_List_Table58[[#This Row],[الكمية]]-Inventory_List_Table58[[#This Row],[الصادر]]</f>
        <v>2</v>
      </c>
      <c r="G82" s="62"/>
      <c r="H82" s="62">
        <f>Inventory_List_Table58[[#This Row],[التكلفة]]*Inventory_List_Table58[[#This Row],[الكمية]]</f>
        <v>0</v>
      </c>
      <c r="I82" s="37"/>
    </row>
    <row r="83" spans="1:9" ht="24" hidden="1" customHeight="1" thickTop="1" thickBot="1" x14ac:dyDescent="0.35">
      <c r="A83" s="46">
        <v>80</v>
      </c>
      <c r="B83" s="149" t="s">
        <v>136</v>
      </c>
      <c r="C83" s="65">
        <v>46229</v>
      </c>
      <c r="D83" s="105">
        <v>2</v>
      </c>
      <c r="E83" s="58">
        <v>1</v>
      </c>
      <c r="F83" s="58">
        <f>Inventory_List_Table58[[#This Row],[الكمية]]-Inventory_List_Table58[[#This Row],[الصادر]]</f>
        <v>1</v>
      </c>
      <c r="G83" s="62"/>
      <c r="H83" s="62">
        <f>Inventory_List_Table58[[#This Row],[التكلفة]]*Inventory_List_Table58[[#This Row],[الكمية]]</f>
        <v>0</v>
      </c>
      <c r="I83" s="37"/>
    </row>
    <row r="84" spans="1:9" ht="24" hidden="1" customHeight="1" thickTop="1" thickBot="1" x14ac:dyDescent="0.35">
      <c r="A84" s="48">
        <v>81</v>
      </c>
      <c r="B84" s="149" t="s">
        <v>154</v>
      </c>
      <c r="C84" s="65">
        <v>46234</v>
      </c>
      <c r="D84" s="58">
        <v>3</v>
      </c>
      <c r="E84" s="58">
        <v>1</v>
      </c>
      <c r="F84" s="58">
        <f>Inventory_List_Table58[[#This Row],[الكمية]]-Inventory_List_Table58[[#This Row],[الصادر]]</f>
        <v>2</v>
      </c>
      <c r="G84" s="62"/>
      <c r="H84" s="62">
        <f>Inventory_List_Table58[[#This Row],[التكلفة]]*Inventory_List_Table58[[#This Row],[الكمية]]</f>
        <v>0</v>
      </c>
      <c r="I84" s="37"/>
    </row>
    <row r="85" spans="1:9" ht="24" hidden="1" customHeight="1" thickTop="1" thickBot="1" x14ac:dyDescent="0.35">
      <c r="A85" s="46">
        <v>82</v>
      </c>
      <c r="B85" s="149" t="s">
        <v>144</v>
      </c>
      <c r="C85" s="65">
        <v>46229</v>
      </c>
      <c r="D85" s="105">
        <v>2</v>
      </c>
      <c r="E85" s="58"/>
      <c r="F85" s="58">
        <f>Inventory_List_Table58[[#This Row],[الكمية]]-Inventory_List_Table58[[#This Row],[الصادر]]</f>
        <v>2</v>
      </c>
      <c r="G85" s="82"/>
      <c r="H85" s="82"/>
      <c r="I85" s="37"/>
    </row>
    <row r="86" spans="1:9" ht="24" hidden="1" customHeight="1" thickTop="1" thickBot="1" x14ac:dyDescent="0.35">
      <c r="A86" s="46">
        <v>83</v>
      </c>
      <c r="B86" s="149" t="s">
        <v>640</v>
      </c>
      <c r="C86" s="65">
        <v>46229</v>
      </c>
      <c r="D86" s="105">
        <v>15</v>
      </c>
      <c r="E86" s="58"/>
      <c r="F86" s="58">
        <f>Inventory_List_Table58[[#This Row],[الكمية]]-Inventory_List_Table58[[#This Row],[الصادر]]</f>
        <v>15</v>
      </c>
      <c r="G86" s="82"/>
      <c r="H86" s="82"/>
      <c r="I86" s="37"/>
    </row>
    <row r="87" spans="1:9" ht="24" hidden="1" customHeight="1" thickTop="1" thickBot="1" x14ac:dyDescent="0.35">
      <c r="A87" s="46">
        <v>84</v>
      </c>
      <c r="B87" s="160" t="s">
        <v>641</v>
      </c>
      <c r="C87" s="65">
        <v>46229</v>
      </c>
      <c r="D87" s="116">
        <v>1</v>
      </c>
      <c r="E87" s="58">
        <v>1</v>
      </c>
      <c r="F87" s="58">
        <f>Inventory_List_Table58[[#This Row],[الكمية]]-Inventory_List_Table58[[#This Row],[الصادر]]</f>
        <v>0</v>
      </c>
      <c r="G87" s="62">
        <v>1.7</v>
      </c>
      <c r="H87" s="62">
        <f>Inventory_List_Table58[[#This Row],[التكلفة]]*Inventory_List_Table58[[#This Row],[الكمية]]</f>
        <v>1.7</v>
      </c>
      <c r="I87" s="37"/>
    </row>
    <row r="88" spans="1:9" ht="24" hidden="1" customHeight="1" thickTop="1" thickBot="1" x14ac:dyDescent="0.35">
      <c r="A88" s="46">
        <v>85</v>
      </c>
      <c r="B88" s="149" t="s">
        <v>642</v>
      </c>
      <c r="C88" s="65">
        <v>46229</v>
      </c>
      <c r="D88" s="116">
        <v>9</v>
      </c>
      <c r="E88" s="58"/>
      <c r="F88" s="58">
        <f>Inventory_List_Table58[[#This Row],[الكمية]]-Inventory_List_Table58[[#This Row],[الصادر]]</f>
        <v>9</v>
      </c>
      <c r="G88" s="62"/>
      <c r="H88" s="62"/>
      <c r="I88" s="37"/>
    </row>
    <row r="89" spans="1:9" ht="24" hidden="1" customHeight="1" thickTop="1" thickBot="1" x14ac:dyDescent="0.35">
      <c r="A89" s="48">
        <v>86</v>
      </c>
      <c r="B89" s="149" t="s">
        <v>643</v>
      </c>
      <c r="C89" s="59">
        <v>46231</v>
      </c>
      <c r="D89" s="58">
        <v>2</v>
      </c>
      <c r="E89" s="58">
        <v>1</v>
      </c>
      <c r="F89" s="58">
        <f>Inventory_List_Table58[[#This Row],[الكمية]]-Inventory_List_Table58[[#This Row],[الصادر]]</f>
        <v>1</v>
      </c>
      <c r="G89" s="62">
        <v>60</v>
      </c>
      <c r="H89" s="62">
        <f>Inventory_List_Table58[[#This Row],[التكلفة]]*Inventory_List_Table58[[#This Row],[الكمية]]</f>
        <v>120</v>
      </c>
      <c r="I89" s="37"/>
    </row>
    <row r="90" spans="1:9" ht="24" hidden="1" customHeight="1" thickTop="1" thickBot="1" x14ac:dyDescent="0.35">
      <c r="A90" s="46">
        <v>87</v>
      </c>
      <c r="B90" s="149" t="s">
        <v>636</v>
      </c>
      <c r="C90" s="65">
        <v>46229</v>
      </c>
      <c r="D90" s="116">
        <v>15</v>
      </c>
      <c r="E90" s="58">
        <v>15</v>
      </c>
      <c r="F90" s="58">
        <f>Inventory_List_Table58[[#This Row],[الكمية]]-Inventory_List_Table58[[#This Row],[الصادر]]</f>
        <v>0</v>
      </c>
      <c r="G90" s="62">
        <v>0</v>
      </c>
      <c r="H90" s="62">
        <f>Inventory_List_Table58[[#This Row],[التكلفة]]*Inventory_List_Table58[[#This Row],[الكمية]]</f>
        <v>0</v>
      </c>
      <c r="I90" s="37"/>
    </row>
    <row r="91" spans="1:9" ht="24" hidden="1" customHeight="1" thickTop="1" thickBot="1" x14ac:dyDescent="0.35">
      <c r="A91" s="46">
        <v>88</v>
      </c>
      <c r="B91" s="149" t="s">
        <v>90</v>
      </c>
      <c r="C91" s="59">
        <v>46231</v>
      </c>
      <c r="D91" s="58">
        <v>4</v>
      </c>
      <c r="E91" s="58">
        <v>3</v>
      </c>
      <c r="F91" s="58">
        <f>Inventory_List_Table58[[#This Row],[الكمية]]-Inventory_List_Table58[[#This Row],[الصادر]]</f>
        <v>1</v>
      </c>
      <c r="G91" s="82"/>
      <c r="H91" s="62">
        <f>Inventory_List_Table58[[#This Row],[التكلفة]]*Inventory_List_Table58[[#This Row],[الكمية]]</f>
        <v>0</v>
      </c>
      <c r="I91" s="37"/>
    </row>
    <row r="92" spans="1:9" ht="24" hidden="1" customHeight="1" thickTop="1" thickBot="1" x14ac:dyDescent="0.35">
      <c r="A92" s="46">
        <v>89</v>
      </c>
      <c r="B92" s="149" t="s">
        <v>131</v>
      </c>
      <c r="C92" s="59">
        <v>46234</v>
      </c>
      <c r="D92" s="58">
        <v>5</v>
      </c>
      <c r="E92" s="58">
        <v>3</v>
      </c>
      <c r="F92" s="58">
        <f>Inventory_List_Table58[[#This Row],[الكمية]]-Inventory_List_Table58[[#This Row],[الصادر]]</f>
        <v>2</v>
      </c>
      <c r="G92" s="82"/>
      <c r="H92" s="62">
        <f>Inventory_List_Table58[[#This Row],[التكلفة]]*Inventory_List_Table58[[#This Row],[الكمية]]</f>
        <v>0</v>
      </c>
      <c r="I92" s="37"/>
    </row>
    <row r="93" spans="1:9" ht="24" hidden="1" customHeight="1" thickTop="1" thickBot="1" x14ac:dyDescent="0.35">
      <c r="A93" s="46">
        <v>90</v>
      </c>
      <c r="B93" s="149" t="s">
        <v>89</v>
      </c>
      <c r="C93" s="65">
        <v>46234</v>
      </c>
      <c r="D93" s="58">
        <v>3</v>
      </c>
      <c r="E93" s="58">
        <v>1</v>
      </c>
      <c r="F93" s="58">
        <f>Inventory_List_Table58[[#This Row],[الكمية]]-Inventory_List_Table58[[#This Row],[الصادر]]</f>
        <v>2</v>
      </c>
      <c r="G93" s="82"/>
      <c r="H93" s="62">
        <f>Inventory_List_Table58[[#This Row],[التكلفة]]*Inventory_List_Table58[[#This Row],[الكمية]]</f>
        <v>0</v>
      </c>
      <c r="I93" s="37"/>
    </row>
    <row r="94" spans="1:9" ht="24" hidden="1" customHeight="1" thickTop="1" thickBot="1" x14ac:dyDescent="0.35">
      <c r="A94" s="48">
        <v>91</v>
      </c>
      <c r="B94" s="149" t="s">
        <v>134</v>
      </c>
      <c r="C94" s="65">
        <v>46234</v>
      </c>
      <c r="D94" s="58">
        <v>2</v>
      </c>
      <c r="E94" s="58">
        <v>1</v>
      </c>
      <c r="F94" s="58">
        <f>Inventory_List_Table58[[#This Row],[الكمية]]-Inventory_List_Table58[[#This Row],[الصادر]]</f>
        <v>1</v>
      </c>
      <c r="G94" s="82"/>
      <c r="H94" s="62">
        <f>Inventory_List_Table58[[#This Row],[التكلفة]]*Inventory_List_Table58[[#This Row],[الكمية]]</f>
        <v>0</v>
      </c>
      <c r="I94" s="37"/>
    </row>
    <row r="95" spans="1:9" ht="24" hidden="1" customHeight="1" thickTop="1" thickBot="1" x14ac:dyDescent="0.35">
      <c r="A95" s="46">
        <v>92</v>
      </c>
      <c r="B95" s="149" t="s">
        <v>147</v>
      </c>
      <c r="C95" s="65">
        <v>46229</v>
      </c>
      <c r="D95" s="58">
        <v>1</v>
      </c>
      <c r="E95" s="116"/>
      <c r="F95" s="116">
        <f>Inventory_List_Table58[[#This Row],[الكمية]]-Inventory_List_Table58[[#This Row],[الصادر]]</f>
        <v>1</v>
      </c>
      <c r="G95" s="110"/>
      <c r="H95" s="62">
        <f>Inventory_List_Table58[[#This Row],[التكلفة]]*Inventory_List_Table58[[#This Row],[الكمية]]</f>
        <v>0</v>
      </c>
      <c r="I95" s="37"/>
    </row>
    <row r="96" spans="1:9" ht="24" hidden="1" customHeight="1" thickTop="1" thickBot="1" x14ac:dyDescent="0.35">
      <c r="A96" s="46">
        <v>93</v>
      </c>
      <c r="B96" s="149" t="s">
        <v>155</v>
      </c>
      <c r="C96" s="65">
        <v>46229</v>
      </c>
      <c r="D96" s="58">
        <v>1</v>
      </c>
      <c r="E96" s="117">
        <v>1</v>
      </c>
      <c r="F96" s="117">
        <f>Inventory_List_Table58[[#This Row],[الكمية]]-Inventory_List_Table58[[#This Row],[الصادر]]</f>
        <v>0</v>
      </c>
      <c r="G96" s="82"/>
      <c r="H96" s="62">
        <f>Inventory_List_Table58[[#This Row],[التكلفة]]*Inventory_List_Table58[[#This Row],[الكمية]]</f>
        <v>0</v>
      </c>
      <c r="I96" s="37"/>
    </row>
    <row r="97" spans="1:9" ht="24" hidden="1" customHeight="1" thickTop="1" thickBot="1" x14ac:dyDescent="0.35">
      <c r="A97" s="46">
        <v>94</v>
      </c>
      <c r="B97" s="149" t="s">
        <v>132</v>
      </c>
      <c r="C97" s="65">
        <v>46229</v>
      </c>
      <c r="D97" s="58">
        <v>1</v>
      </c>
      <c r="E97" s="117">
        <v>1</v>
      </c>
      <c r="F97" s="117">
        <f>Inventory_List_Table58[[#This Row],[الكمية]]-Inventory_List_Table58[[#This Row],[الصادر]]</f>
        <v>0</v>
      </c>
      <c r="G97" s="82"/>
      <c r="H97" s="62">
        <f>Inventory_List_Table58[[#This Row],[التكلفة]]*Inventory_List_Table58[[#This Row],[الكمية]]</f>
        <v>0</v>
      </c>
      <c r="I97" s="37"/>
    </row>
    <row r="98" spans="1:9" ht="24" hidden="1" customHeight="1" thickTop="1" thickBot="1" x14ac:dyDescent="0.35">
      <c r="A98" s="46">
        <v>95</v>
      </c>
      <c r="B98" s="149" t="s">
        <v>322</v>
      </c>
      <c r="C98" s="65">
        <v>46229</v>
      </c>
      <c r="D98" s="58">
        <v>1</v>
      </c>
      <c r="E98" s="117">
        <v>1</v>
      </c>
      <c r="F98" s="117">
        <f>Inventory_List_Table58[[#This Row],[الكمية]]-Inventory_List_Table58[[#This Row],[الصادر]]</f>
        <v>0</v>
      </c>
      <c r="G98" s="82"/>
      <c r="H98" s="62">
        <f>Inventory_List_Table58[[#This Row],[التكلفة]]*Inventory_List_Table58[[#This Row],[الكمية]]</f>
        <v>0</v>
      </c>
      <c r="I98" s="37"/>
    </row>
    <row r="99" spans="1:9" ht="24" hidden="1" customHeight="1" thickTop="1" thickBot="1" x14ac:dyDescent="0.35">
      <c r="A99" s="48">
        <v>96</v>
      </c>
      <c r="B99" s="149" t="s">
        <v>333</v>
      </c>
      <c r="C99" s="65">
        <v>46229</v>
      </c>
      <c r="D99" s="58">
        <v>1</v>
      </c>
      <c r="E99" s="58">
        <v>1</v>
      </c>
      <c r="F99" s="58">
        <f>Inventory_List_Table58[[#This Row],[الكمية]]-Inventory_List_Table58[[#This Row],[الصادر]]</f>
        <v>0</v>
      </c>
      <c r="G99" s="82"/>
      <c r="H99" s="62">
        <f>Inventory_List_Table58[[#This Row],[التكلفة]]*Inventory_List_Table58[[#This Row],[الكمية]]</f>
        <v>0</v>
      </c>
      <c r="I99" s="37"/>
    </row>
    <row r="100" spans="1:9" ht="24" hidden="1" customHeight="1" thickTop="1" thickBot="1" x14ac:dyDescent="0.35">
      <c r="A100" s="46">
        <v>97</v>
      </c>
      <c r="B100" s="149" t="s">
        <v>92</v>
      </c>
      <c r="C100" s="65">
        <v>46229</v>
      </c>
      <c r="D100" s="105">
        <v>2</v>
      </c>
      <c r="E100" s="58"/>
      <c r="F100" s="58">
        <f>Inventory_List_Table58[[#This Row],[الكمية]]-Inventory_List_Table58[[#This Row],[الصادر]]</f>
        <v>2</v>
      </c>
      <c r="G100" s="82"/>
      <c r="H100" s="62">
        <f>Inventory_List_Table58[[#This Row],[التكلفة]]*Inventory_List_Table58[[#This Row],[الكمية]]</f>
        <v>0</v>
      </c>
      <c r="I100" s="37"/>
    </row>
    <row r="101" spans="1:9" ht="24" hidden="1" customHeight="1" thickTop="1" thickBot="1" x14ac:dyDescent="0.35">
      <c r="A101" s="46">
        <v>98</v>
      </c>
      <c r="B101" s="149" t="s">
        <v>93</v>
      </c>
      <c r="C101" s="65">
        <v>46229</v>
      </c>
      <c r="D101" s="105">
        <v>2</v>
      </c>
      <c r="E101" s="58"/>
      <c r="F101" s="58">
        <f>Inventory_List_Table58[[#This Row],[الكمية]]-Inventory_List_Table58[[#This Row],[الصادر]]</f>
        <v>2</v>
      </c>
      <c r="G101" s="82"/>
      <c r="H101" s="62">
        <f>Inventory_List_Table58[[#This Row],[التكلفة]]*Inventory_List_Table58[[#This Row],[الكمية]]</f>
        <v>0</v>
      </c>
      <c r="I101" s="37"/>
    </row>
    <row r="102" spans="1:9" ht="24" hidden="1" customHeight="1" thickTop="1" thickBot="1" x14ac:dyDescent="0.35">
      <c r="A102" s="46">
        <v>99</v>
      </c>
      <c r="B102" s="149" t="s">
        <v>161</v>
      </c>
      <c r="C102" s="65">
        <v>46229</v>
      </c>
      <c r="D102" s="105">
        <v>1</v>
      </c>
      <c r="E102" s="58">
        <v>1</v>
      </c>
      <c r="F102" s="58">
        <f>Inventory_List_Table58[[#This Row],[الكمية]]-Inventory_List_Table58[[#This Row],[الصادر]]</f>
        <v>0</v>
      </c>
      <c r="G102" s="82"/>
      <c r="H102" s="62">
        <f>Inventory_List_Table58[[#This Row],[التكلفة]]*Inventory_List_Table58[[#This Row],[الكمية]]</f>
        <v>0</v>
      </c>
      <c r="I102" s="37"/>
    </row>
    <row r="103" spans="1:9" ht="24" hidden="1" customHeight="1" thickTop="1" thickBot="1" x14ac:dyDescent="0.35">
      <c r="A103" s="46">
        <v>100</v>
      </c>
      <c r="B103" s="149" t="s">
        <v>644</v>
      </c>
      <c r="C103" s="65">
        <v>46229</v>
      </c>
      <c r="D103" s="105">
        <v>500</v>
      </c>
      <c r="E103" s="58">
        <v>250</v>
      </c>
      <c r="F103" s="58">
        <f>Inventory_List_Table58[[#This Row],[الكمية]]-Inventory_List_Table58[[#This Row],[الصادر]]</f>
        <v>250</v>
      </c>
      <c r="G103" s="82"/>
      <c r="H103" s="62">
        <f>Inventory_List_Table58[[#This Row],[التكلفة]]*Inventory_List_Table58[[#This Row],[الكمية]]</f>
        <v>0</v>
      </c>
      <c r="I103" s="37"/>
    </row>
    <row r="104" spans="1:9" ht="24" hidden="1" customHeight="1" thickTop="1" thickBot="1" x14ac:dyDescent="0.35">
      <c r="A104" s="48">
        <v>101</v>
      </c>
      <c r="B104" s="149" t="s">
        <v>647</v>
      </c>
      <c r="C104" s="65">
        <v>46229</v>
      </c>
      <c r="D104" s="116"/>
      <c r="E104" s="58"/>
      <c r="F104" s="58">
        <f>Inventory_List_Table58[[#This Row],[الكمية]]-Inventory_List_Table58[[#This Row],[الصادر]]</f>
        <v>0</v>
      </c>
      <c r="G104" s="82"/>
      <c r="H104" s="62">
        <f>Inventory_List_Table58[[#This Row],[التكلفة]]*Inventory_List_Table58[[#This Row],[الكمية]]</f>
        <v>0</v>
      </c>
      <c r="I104" s="37"/>
    </row>
    <row r="105" spans="1:9" ht="24" hidden="1" customHeight="1" thickTop="1" thickBot="1" x14ac:dyDescent="0.35">
      <c r="A105" s="46">
        <v>102</v>
      </c>
      <c r="B105" s="148" t="s">
        <v>653</v>
      </c>
      <c r="C105" s="59">
        <v>46234</v>
      </c>
      <c r="D105" s="121">
        <v>80</v>
      </c>
      <c r="E105" s="58"/>
      <c r="F105" s="58">
        <f>Inventory_List_Table58[[#This Row],[الكمية]]-Inventory_List_Table58[[#This Row],[الصادر]]</f>
        <v>80</v>
      </c>
      <c r="G105" s="82"/>
      <c r="H105" s="62">
        <f>Inventory_List_Table58[[#This Row],[التكلفة]]*Inventory_List_Table58[[#This Row],[الكمية]]</f>
        <v>0</v>
      </c>
      <c r="I105" s="37"/>
    </row>
    <row r="106" spans="1:9" ht="24" hidden="1" customHeight="1" thickTop="1" thickBot="1" x14ac:dyDescent="0.35">
      <c r="A106" s="46">
        <v>103</v>
      </c>
      <c r="B106" s="148" t="s">
        <v>654</v>
      </c>
      <c r="C106" s="59">
        <v>46234</v>
      </c>
      <c r="D106" s="121">
        <v>80</v>
      </c>
      <c r="E106" s="58"/>
      <c r="F106" s="58">
        <v>50</v>
      </c>
      <c r="G106" s="82"/>
      <c r="H106" s="62">
        <f>Inventory_List_Table58[[#This Row],[التكلفة]]*Inventory_List_Table58[[#This Row],[الكمية]]</f>
        <v>0</v>
      </c>
      <c r="I106" s="37"/>
    </row>
    <row r="107" spans="1:9" ht="24" hidden="1" customHeight="1" thickTop="1" thickBot="1" x14ac:dyDescent="0.35">
      <c r="A107" s="46">
        <v>104</v>
      </c>
      <c r="B107" s="148" t="s">
        <v>655</v>
      </c>
      <c r="C107" s="59">
        <v>46234</v>
      </c>
      <c r="D107" s="121">
        <v>80</v>
      </c>
      <c r="E107" s="58"/>
      <c r="F107" s="58">
        <v>50</v>
      </c>
      <c r="G107" s="82"/>
      <c r="H107" s="62">
        <f>Inventory_List_Table58[[#This Row],[التكلفة]]*Inventory_List_Table58[[#This Row],[الكمية]]</f>
        <v>0</v>
      </c>
      <c r="I107" s="37"/>
    </row>
    <row r="108" spans="1:9" ht="24" hidden="1" customHeight="1" thickTop="1" thickBot="1" x14ac:dyDescent="0.35">
      <c r="A108" s="46">
        <v>105</v>
      </c>
      <c r="B108" s="148" t="s">
        <v>656</v>
      </c>
      <c r="C108" s="59">
        <v>46231</v>
      </c>
      <c r="D108" s="121">
        <v>10</v>
      </c>
      <c r="E108" s="58"/>
      <c r="F108" s="58">
        <v>10</v>
      </c>
      <c r="G108" s="82"/>
      <c r="H108" s="62">
        <f>Inventory_List_Table58[[#This Row],[التكلفة]]*Inventory_List_Table58[[#This Row],[الكمية]]</f>
        <v>0</v>
      </c>
      <c r="I108" s="37"/>
    </row>
    <row r="109" spans="1:9" ht="24" hidden="1" customHeight="1" thickTop="1" thickBot="1" x14ac:dyDescent="0.35">
      <c r="A109" s="48">
        <v>106</v>
      </c>
      <c r="B109" s="149" t="s">
        <v>679</v>
      </c>
      <c r="C109" s="59">
        <v>46231</v>
      </c>
      <c r="D109" s="121">
        <v>6</v>
      </c>
      <c r="E109" s="58"/>
      <c r="F109" s="58">
        <v>6</v>
      </c>
      <c r="G109" s="82">
        <v>7</v>
      </c>
      <c r="H109" s="62">
        <f>Inventory_List_Table58[[#This Row],[التكلفة]]*Inventory_List_Table58[[#This Row],[الكمية]]</f>
        <v>42</v>
      </c>
      <c r="I109" s="37"/>
    </row>
    <row r="110" spans="1:9" ht="24" hidden="1" customHeight="1" thickTop="1" thickBot="1" x14ac:dyDescent="0.35">
      <c r="A110" s="46">
        <v>107</v>
      </c>
      <c r="B110" s="159" t="s">
        <v>628</v>
      </c>
      <c r="C110" s="59">
        <v>46231</v>
      </c>
      <c r="D110" s="58">
        <v>1</v>
      </c>
      <c r="E110" s="58"/>
      <c r="F110" s="58">
        <f>Inventory_List_Table58[[#This Row],[الكمية]]-Inventory_List_Table58[[#This Row],[الصادر]]</f>
        <v>1</v>
      </c>
      <c r="G110" s="82">
        <v>25</v>
      </c>
      <c r="H110" s="62">
        <f>Inventory_List_Table58[[#This Row],[التكلفة]]*Inventory_List_Table58[[#This Row],[الكمية]]</f>
        <v>25</v>
      </c>
      <c r="I110" s="37"/>
    </row>
    <row r="111" spans="1:9" ht="24" hidden="1" customHeight="1" thickTop="1" thickBot="1" x14ac:dyDescent="0.35">
      <c r="A111" s="46">
        <v>108</v>
      </c>
      <c r="B111" s="148" t="s">
        <v>167</v>
      </c>
      <c r="C111" s="59">
        <v>46231</v>
      </c>
      <c r="D111" s="58">
        <v>15</v>
      </c>
      <c r="E111" s="58"/>
      <c r="F111" s="58">
        <f>Inventory_List_Table58[[#This Row],[الكمية]]-Inventory_List_Table58[[#This Row],[الصادر]]</f>
        <v>15</v>
      </c>
      <c r="G111" s="82"/>
      <c r="H111" s="62">
        <f>Inventory_List_Table58[[#This Row],[التكلفة]]*Inventory_List_Table58[[#This Row],[الكمية]]</f>
        <v>0</v>
      </c>
      <c r="I111" s="37"/>
    </row>
    <row r="112" spans="1:9" ht="24" hidden="1" customHeight="1" thickTop="1" thickBot="1" x14ac:dyDescent="0.35">
      <c r="A112" s="46">
        <v>109</v>
      </c>
      <c r="B112" s="149" t="s">
        <v>663</v>
      </c>
      <c r="C112" s="59">
        <v>46231</v>
      </c>
      <c r="D112" s="58">
        <v>10</v>
      </c>
      <c r="E112" s="58"/>
      <c r="F112" s="58">
        <f>Inventory_List_Table58[[#This Row],[الكمية]]-Inventory_List_Table58[[#This Row],[الصادر]]</f>
        <v>10</v>
      </c>
      <c r="G112" s="82"/>
      <c r="H112" s="62">
        <f>Inventory_List_Table58[[#This Row],[التكلفة]]*Inventory_List_Table58[[#This Row],[الكمية]]</f>
        <v>0</v>
      </c>
      <c r="I112" s="37"/>
    </row>
    <row r="113" spans="1:9" ht="24" hidden="1" customHeight="1" thickTop="1" thickBot="1" x14ac:dyDescent="0.35">
      <c r="A113" s="46">
        <v>110</v>
      </c>
      <c r="B113" s="149" t="s">
        <v>669</v>
      </c>
      <c r="C113" s="59">
        <v>46234</v>
      </c>
      <c r="D113" s="121">
        <v>20</v>
      </c>
      <c r="E113" s="58"/>
      <c r="F113" s="58">
        <f>Inventory_List_Table58[[#This Row],[الكمية]]-Inventory_List_Table58[[#This Row],[الصادر]]</f>
        <v>20</v>
      </c>
      <c r="G113" s="82"/>
      <c r="H113" s="62">
        <f>Inventory_List_Table58[[#This Row],[التكلفة]]*Inventory_List_Table58[[#This Row],[الكمية]]</f>
        <v>0</v>
      </c>
      <c r="I113" s="37"/>
    </row>
    <row r="114" spans="1:9" ht="24" hidden="1" customHeight="1" thickTop="1" thickBot="1" x14ac:dyDescent="0.35">
      <c r="A114" s="48">
        <v>111</v>
      </c>
      <c r="B114" s="148" t="s">
        <v>269</v>
      </c>
      <c r="C114" s="59">
        <v>46231</v>
      </c>
      <c r="D114" s="117">
        <v>1</v>
      </c>
      <c r="E114" s="117"/>
      <c r="F114" s="117">
        <f>Inventory_List_Table58[[#This Row],[الكمية]]-Inventory_List_Table58[[#This Row],[الصادر]]</f>
        <v>1</v>
      </c>
      <c r="G114" s="82"/>
      <c r="H114" s="62">
        <f>Inventory_List_Table58[[#This Row],[التكلفة]]*Inventory_List_Table58[[#This Row],[الكمية]]</f>
        <v>0</v>
      </c>
      <c r="I114" s="37"/>
    </row>
    <row r="115" spans="1:9" ht="24" hidden="1" customHeight="1" thickTop="1" thickBot="1" x14ac:dyDescent="0.35">
      <c r="A115" s="46">
        <v>112</v>
      </c>
      <c r="B115" s="149" t="s">
        <v>180</v>
      </c>
      <c r="C115" s="59">
        <v>46231</v>
      </c>
      <c r="D115" s="117">
        <v>10</v>
      </c>
      <c r="E115" s="117"/>
      <c r="F115" s="117">
        <f>Inventory_List_Table58[[#This Row],[الكمية]]-Inventory_List_Table58[[#This Row],[الصادر]]</f>
        <v>10</v>
      </c>
      <c r="G115" s="82"/>
      <c r="H115" s="62">
        <f>Inventory_List_Table58[[#This Row],[التكلفة]]*Inventory_List_Table58[[#This Row],[الكمية]]</f>
        <v>0</v>
      </c>
      <c r="I115" s="37"/>
    </row>
    <row r="116" spans="1:9" ht="24" hidden="1" customHeight="1" thickTop="1" thickBot="1" x14ac:dyDescent="0.35">
      <c r="A116" s="46">
        <v>113</v>
      </c>
      <c r="B116" s="156" t="s">
        <v>661</v>
      </c>
      <c r="C116" s="59">
        <v>46231</v>
      </c>
      <c r="D116" s="60">
        <v>15</v>
      </c>
      <c r="E116" s="117"/>
      <c r="F116" s="117">
        <f>Inventory_List_Table58[[#This Row],[الكمية]]-Inventory_List_Table58[[#This Row],[الصادر]]</f>
        <v>15</v>
      </c>
      <c r="G116" s="82"/>
      <c r="H116" s="62">
        <f>Inventory_List_Table58[[#This Row],[التكلفة]]*Inventory_List_Table58[[#This Row],[الكمية]]</f>
        <v>0</v>
      </c>
      <c r="I116" s="37"/>
    </row>
    <row r="117" spans="1:9" ht="24" hidden="1" customHeight="1" thickTop="1" thickBot="1" x14ac:dyDescent="0.35">
      <c r="A117" s="46">
        <v>114</v>
      </c>
      <c r="B117" s="149" t="s">
        <v>662</v>
      </c>
      <c r="C117" s="59">
        <v>46234</v>
      </c>
      <c r="D117" s="109">
        <v>35</v>
      </c>
      <c r="E117" s="117"/>
      <c r="F117" s="117">
        <f>Inventory_List_Table58[[#This Row],[الكمية]]-Inventory_List_Table58[[#This Row],[الصادر]]</f>
        <v>35</v>
      </c>
      <c r="G117" s="82"/>
      <c r="H117" s="62">
        <f>Inventory_List_Table58[[#This Row],[التكلفة]]*Inventory_List_Table58[[#This Row],[الكمية]]</f>
        <v>0</v>
      </c>
      <c r="I117" s="37"/>
    </row>
    <row r="118" spans="1:9" ht="24" hidden="1" customHeight="1" thickTop="1" thickBot="1" x14ac:dyDescent="0.35">
      <c r="A118" s="46">
        <v>115</v>
      </c>
      <c r="B118" s="159" t="s">
        <v>678</v>
      </c>
      <c r="C118" s="59">
        <v>46231</v>
      </c>
      <c r="D118" s="84">
        <v>5</v>
      </c>
      <c r="E118" s="84"/>
      <c r="F118" s="84">
        <f>Inventory_List_Table58[[#This Row],[الكمية]]-Inventory_List_Table58[[#This Row],[الصادر]]</f>
        <v>5</v>
      </c>
      <c r="G118" s="82"/>
      <c r="H118" s="62">
        <f>Inventory_List_Table58[[#This Row],[التكلفة]]*Inventory_List_Table58[[#This Row],[الكمية]]</f>
        <v>0</v>
      </c>
      <c r="I118" s="37"/>
    </row>
    <row r="119" spans="1:9" ht="24" hidden="1" customHeight="1" thickTop="1" thickBot="1" x14ac:dyDescent="0.35">
      <c r="A119" s="48">
        <v>116</v>
      </c>
      <c r="B119" s="149" t="s">
        <v>665</v>
      </c>
      <c r="C119" s="59">
        <v>46234</v>
      </c>
      <c r="D119" s="84">
        <v>15</v>
      </c>
      <c r="E119" s="84"/>
      <c r="F119" s="84">
        <f>Inventory_List_Table58[[#This Row],[الكمية]]-Inventory_List_Table58[[#This Row],[الصادر]]</f>
        <v>15</v>
      </c>
      <c r="G119" s="82"/>
      <c r="H119" s="62">
        <f>Inventory_List_Table58[[#This Row],[التكلفة]]*Inventory_List_Table58[[#This Row],[الكمية]]</f>
        <v>0</v>
      </c>
      <c r="I119" s="37"/>
    </row>
    <row r="120" spans="1:9" ht="24" hidden="1" customHeight="1" thickTop="1" thickBot="1" x14ac:dyDescent="0.35">
      <c r="A120" s="46">
        <v>117</v>
      </c>
      <c r="B120" s="153" t="s">
        <v>261</v>
      </c>
      <c r="C120" s="127">
        <v>46234</v>
      </c>
      <c r="D120" s="84">
        <v>80</v>
      </c>
      <c r="E120" s="84"/>
      <c r="F120" s="84">
        <f>Inventory_List_Table58[[#This Row],[الكمية]]-Inventory_List_Table58[[#This Row],[الصادر]]</f>
        <v>80</v>
      </c>
      <c r="G120" s="82"/>
      <c r="H120" s="62">
        <f>Inventory_List_Table58[[#This Row],[التكلفة]]*Inventory_List_Table58[[#This Row],[الكمية]]</f>
        <v>0</v>
      </c>
      <c r="I120" s="37"/>
    </row>
    <row r="121" spans="1:9" ht="24" hidden="1" customHeight="1" thickTop="1" thickBot="1" x14ac:dyDescent="0.35">
      <c r="A121" s="125">
        <v>118</v>
      </c>
      <c r="B121" s="188" t="s">
        <v>684</v>
      </c>
      <c r="C121" s="189">
        <v>46234</v>
      </c>
      <c r="D121" s="190">
        <v>5</v>
      </c>
      <c r="E121" s="191"/>
      <c r="F121" s="191">
        <f>Inventory_List_Table58[[#This Row],[الكمية]]-Inventory_List_Table58[[#This Row],[الصادر]]</f>
        <v>5</v>
      </c>
      <c r="G121" s="192"/>
      <c r="H121" s="193">
        <v>185</v>
      </c>
      <c r="I121" s="194" t="s">
        <v>751</v>
      </c>
    </row>
    <row r="122" spans="1:9" ht="24" hidden="1" customHeight="1" thickTop="1" thickBot="1" x14ac:dyDescent="0.35">
      <c r="A122" s="125">
        <v>119</v>
      </c>
      <c r="B122" s="188" t="s">
        <v>685</v>
      </c>
      <c r="C122" s="189">
        <v>46234</v>
      </c>
      <c r="D122" s="190">
        <v>5</v>
      </c>
      <c r="E122" s="191"/>
      <c r="F122" s="191">
        <f>Inventory_List_Table58[[#This Row],[الكمية]]-Inventory_List_Table58[[#This Row],[الصادر]]</f>
        <v>5</v>
      </c>
      <c r="G122" s="192">
        <v>23</v>
      </c>
      <c r="H122" s="193">
        <f>Inventory_List_Table58[[#This Row],[التكلفة]]*Inventory_List_Table58[[#This Row],[الكمية]]</f>
        <v>115</v>
      </c>
      <c r="I122" s="194" t="s">
        <v>750</v>
      </c>
    </row>
    <row r="123" spans="1:9" ht="24" hidden="1" customHeight="1" thickTop="1" thickBot="1" x14ac:dyDescent="0.35">
      <c r="A123" s="125">
        <v>120</v>
      </c>
      <c r="B123" s="188" t="s">
        <v>686</v>
      </c>
      <c r="C123" s="189">
        <v>46234</v>
      </c>
      <c r="D123" s="190">
        <v>5</v>
      </c>
      <c r="E123" s="191"/>
      <c r="F123" s="191">
        <f>Inventory_List_Table58[[#This Row],[الكمية]]-Inventory_List_Table58[[#This Row],[الصادر]]</f>
        <v>5</v>
      </c>
      <c r="G123" s="192">
        <v>21</v>
      </c>
      <c r="H123" s="193">
        <f>Inventory_List_Table58[[#This Row],[التكلفة]]*Inventory_List_Table58[[#This Row],[الكمية]]</f>
        <v>105</v>
      </c>
      <c r="I123" s="194" t="s">
        <v>752</v>
      </c>
    </row>
    <row r="124" spans="1:9" ht="24" hidden="1" customHeight="1" thickTop="1" thickBot="1" x14ac:dyDescent="0.35">
      <c r="A124" s="126">
        <v>121</v>
      </c>
      <c r="B124" s="188" t="s">
        <v>687</v>
      </c>
      <c r="C124" s="189">
        <v>46234</v>
      </c>
      <c r="D124" s="190">
        <v>5</v>
      </c>
      <c r="E124" s="191">
        <v>3</v>
      </c>
      <c r="F124" s="191">
        <v>2</v>
      </c>
      <c r="G124" s="192">
        <v>60</v>
      </c>
      <c r="H124" s="193">
        <f>Inventory_List_Table58[[#This Row],[المتبقي مخزون]]*Inventory_List_Table58[[#This Row],[التكلفة]]</f>
        <v>120</v>
      </c>
      <c r="I124" s="194" t="s">
        <v>749</v>
      </c>
    </row>
    <row r="125" spans="1:9" ht="24" hidden="1" customHeight="1" thickTop="1" thickBot="1" x14ac:dyDescent="0.35">
      <c r="A125" s="46"/>
      <c r="B125" s="147" t="s">
        <v>283</v>
      </c>
      <c r="C125" s="127">
        <v>46234</v>
      </c>
      <c r="D125" s="84">
        <f ca="1">Inventory_List_Table58[[#This Row],[الكمية]]-Inventory_List_Table58[[#This Row],[الصادر]]</f>
        <v>1</v>
      </c>
      <c r="E125" s="84"/>
      <c r="F125" s="84">
        <f ca="1">Inventory_List_Table58[[#This Row],[الكمية]]-Inventory_List_Table58[[#This Row],[الصادر]]</f>
        <v>1</v>
      </c>
      <c r="G125" s="61">
        <v>1</v>
      </c>
      <c r="H125" s="62">
        <f ca="1">Inventory_List_Table58[[#This Row],[التكلفة]]*Inventory_List_Table58[[#This Row],[الكمية]]</f>
        <v>0</v>
      </c>
      <c r="I125" s="37"/>
    </row>
    <row r="126" spans="1:9" ht="24" hidden="1" customHeight="1" thickTop="1" thickBot="1" x14ac:dyDescent="0.35">
      <c r="A126" s="46">
        <v>123</v>
      </c>
      <c r="B126" s="160" t="s">
        <v>286</v>
      </c>
      <c r="C126" s="127">
        <v>46234</v>
      </c>
      <c r="D126" s="84">
        <v>2</v>
      </c>
      <c r="E126" s="84"/>
      <c r="F126" s="84">
        <f>Inventory_List_Table58[[#This Row],[الكمية]]-Inventory_List_Table58[[#This Row],[الصادر]]</f>
        <v>2</v>
      </c>
      <c r="G126" s="61">
        <v>4.5</v>
      </c>
      <c r="H126" s="62">
        <f>Inventory_List_Table58[[#This Row],[التكلفة]]*Inventory_List_Table58[[#This Row],[الكمية]]</f>
        <v>9</v>
      </c>
      <c r="I126" s="37"/>
    </row>
    <row r="127" spans="1:9" ht="24" hidden="1" customHeight="1" thickTop="1" thickBot="1" x14ac:dyDescent="0.35">
      <c r="A127" s="46">
        <v>124</v>
      </c>
      <c r="B127" s="147" t="s">
        <v>111</v>
      </c>
      <c r="C127" s="127">
        <v>46234</v>
      </c>
      <c r="D127" s="84">
        <v>48</v>
      </c>
      <c r="E127" s="84"/>
      <c r="F127" s="84">
        <f>Inventory_List_Table58[[#This Row],[الكمية]]-Inventory_List_Table58[[#This Row],[الصادر]]</f>
        <v>48</v>
      </c>
      <c r="G127" s="61">
        <v>0.15</v>
      </c>
      <c r="H127" s="62">
        <f>Inventory_List_Table58[[#This Row],[التكلفة]]*Inventory_List_Table58[[#This Row],[الكمية]]</f>
        <v>7.1999999999999993</v>
      </c>
      <c r="I127" s="37"/>
    </row>
    <row r="128" spans="1:9" ht="24" hidden="1" customHeight="1" thickTop="1" thickBot="1" x14ac:dyDescent="0.35">
      <c r="A128" s="46"/>
      <c r="B128" s="160" t="s">
        <v>597</v>
      </c>
      <c r="C128" s="127">
        <v>46234</v>
      </c>
      <c r="D128" s="84">
        <v>5</v>
      </c>
      <c r="E128" s="84"/>
      <c r="F128" s="84">
        <f>Inventory_List_Table58[[#This Row],[الكمية]]-Inventory_List_Table58[[#This Row],[الصادر]]</f>
        <v>5</v>
      </c>
      <c r="G128" s="61"/>
      <c r="H128" s="62">
        <f>Inventory_List_Table58[[#This Row],[التكلفة]]*Inventory_List_Table58[[#This Row],[الكمية]]</f>
        <v>0</v>
      </c>
      <c r="I128" s="37"/>
    </row>
    <row r="129" spans="1:9" ht="24" hidden="1" customHeight="1" thickTop="1" thickBot="1" x14ac:dyDescent="0.35">
      <c r="A129" s="48">
        <v>126</v>
      </c>
      <c r="B129" s="147" t="s">
        <v>138</v>
      </c>
      <c r="C129" s="127">
        <v>46234</v>
      </c>
      <c r="D129" s="84">
        <v>2</v>
      </c>
      <c r="E129" s="84"/>
      <c r="F129" s="84">
        <f>Inventory_List_Table58[[#This Row],[الكمية]]-Inventory_List_Table58[[#This Row],[الصادر]]</f>
        <v>2</v>
      </c>
      <c r="G129" s="62">
        <v>8.5</v>
      </c>
      <c r="H129" s="62">
        <f>Inventory_List_Table58[[#This Row],[التكلفة]]*Inventory_List_Table58[[#This Row],[الكمية]]</f>
        <v>17</v>
      </c>
      <c r="I129" s="37"/>
    </row>
    <row r="130" spans="1:9" ht="24" hidden="1" customHeight="1" thickTop="1" thickBot="1" x14ac:dyDescent="0.45">
      <c r="A130" s="46">
        <v>127</v>
      </c>
      <c r="B130" s="156" t="s">
        <v>658</v>
      </c>
      <c r="C130" s="127">
        <v>46234</v>
      </c>
      <c r="D130" s="141">
        <v>1</v>
      </c>
      <c r="E130" s="84"/>
      <c r="F130" s="84">
        <f>Inventory_List_Table58[[#This Row],[الكمية]]-Inventory_List_Table58[[#This Row],[الصادر]]</f>
        <v>1</v>
      </c>
      <c r="G130" s="61">
        <v>1.95</v>
      </c>
      <c r="H130" s="62">
        <f>Inventory_List_Table58[[#This Row],[التكلفة]]*Inventory_List_Table58[[#This Row],[الكمية]]</f>
        <v>1.95</v>
      </c>
      <c r="I130" s="37"/>
    </row>
    <row r="131" spans="1:9" ht="24" hidden="1" customHeight="1" thickTop="1" thickBot="1" x14ac:dyDescent="0.45">
      <c r="A131" s="46"/>
      <c r="B131" s="156" t="s">
        <v>753</v>
      </c>
      <c r="C131" s="127">
        <v>46234</v>
      </c>
      <c r="D131" s="141">
        <v>10</v>
      </c>
      <c r="E131" s="84"/>
      <c r="F131" s="84">
        <f>Inventory_List_Table58[[#This Row],[الكمية]]-Inventory_List_Table58[[#This Row],[الصادر]]</f>
        <v>10</v>
      </c>
      <c r="G131" s="61">
        <v>0.18</v>
      </c>
      <c r="H131" s="62">
        <f>Inventory_List_Table58[[#This Row],[التكلفة]]*Inventory_List_Table58[[#This Row],[الكمية]]</f>
        <v>1.7999999999999998</v>
      </c>
      <c r="I131" s="37"/>
    </row>
    <row r="132" spans="1:9" ht="24" hidden="1" customHeight="1" thickTop="1" thickBot="1" x14ac:dyDescent="0.45">
      <c r="A132" s="46"/>
      <c r="B132" s="162" t="s">
        <v>743</v>
      </c>
      <c r="C132" s="127">
        <v>46234</v>
      </c>
      <c r="D132" s="142">
        <v>6</v>
      </c>
      <c r="E132" s="59"/>
      <c r="F132" s="58">
        <f>Inventory_List_Table58[[#This Row],[الكمية]]-Inventory_List_Table58[[#This Row],[الصادر]]</f>
        <v>6</v>
      </c>
      <c r="G132" s="143">
        <v>1.4</v>
      </c>
      <c r="H132" s="62">
        <f>Inventory_List_Table58[[#This Row],[التكلفة]]*Inventory_List_Table58[[#This Row],[الكمية]]</f>
        <v>8.3999999999999986</v>
      </c>
      <c r="I132" s="37"/>
    </row>
    <row r="133" spans="1:9" ht="24" hidden="1" customHeight="1" thickTop="1" thickBot="1" x14ac:dyDescent="0.45">
      <c r="A133" s="46">
        <v>130</v>
      </c>
      <c r="B133" s="156" t="s">
        <v>754</v>
      </c>
      <c r="C133" s="127">
        <v>46234</v>
      </c>
      <c r="D133" s="141">
        <v>10</v>
      </c>
      <c r="E133" s="59"/>
      <c r="F133" s="58">
        <f>Inventory_List_Table58[[#This Row],[الكمية]]-Inventory_List_Table58[[#This Row],[الصادر]]</f>
        <v>10</v>
      </c>
      <c r="G133" s="61">
        <v>0.92</v>
      </c>
      <c r="H133" s="62">
        <f>Inventory_List_Table58[[#This Row],[التكلفة]]*Inventory_List_Table58[[#This Row],[الكمية]]</f>
        <v>9.2000000000000011</v>
      </c>
      <c r="I133" s="37"/>
    </row>
    <row r="134" spans="1:9" ht="24" hidden="1" customHeight="1" thickTop="1" thickBot="1" x14ac:dyDescent="0.45">
      <c r="A134" s="48"/>
      <c r="B134" s="156" t="s">
        <v>755</v>
      </c>
      <c r="C134" s="127">
        <v>46234</v>
      </c>
      <c r="D134" s="141">
        <v>10</v>
      </c>
      <c r="E134" s="59"/>
      <c r="F134" s="58">
        <f>Inventory_List_Table58[[#This Row],[الكمية]]-Inventory_List_Table58[[#This Row],[الصادر]]</f>
        <v>10</v>
      </c>
      <c r="G134" s="61">
        <v>1.2</v>
      </c>
      <c r="H134" s="62">
        <f>Inventory_List_Table58[[#This Row],[التكلفة]]*Inventory_List_Table58[[#This Row],[الكمية]]</f>
        <v>12</v>
      </c>
      <c r="I134" s="37"/>
    </row>
    <row r="135" spans="1:9" ht="24" hidden="1" customHeight="1" thickTop="1" thickBot="1" x14ac:dyDescent="0.45">
      <c r="A135" s="46"/>
      <c r="B135" s="156" t="s">
        <v>756</v>
      </c>
      <c r="C135" s="127">
        <v>46234</v>
      </c>
      <c r="D135" s="141">
        <v>10</v>
      </c>
      <c r="E135" s="59"/>
      <c r="F135" s="58">
        <f>Inventory_List_Table58[[#This Row],[الكمية]]-Inventory_List_Table58[[#This Row],[الصادر]]</f>
        <v>10</v>
      </c>
      <c r="G135" s="61">
        <v>1.65</v>
      </c>
      <c r="H135" s="62">
        <f>Inventory_List_Table58[[#This Row],[التكلفة]]*Inventory_List_Table58[[#This Row],[الكمية]]</f>
        <v>16.5</v>
      </c>
      <c r="I135" s="37"/>
    </row>
    <row r="136" spans="1:9" ht="24" hidden="1" customHeight="1" thickTop="1" thickBot="1" x14ac:dyDescent="0.45">
      <c r="A136" s="46"/>
      <c r="B136" s="156" t="s">
        <v>680</v>
      </c>
      <c r="C136" s="127">
        <v>46234</v>
      </c>
      <c r="D136" s="141">
        <v>9</v>
      </c>
      <c r="E136" s="59"/>
      <c r="F136" s="58">
        <f>Inventory_List_Table58[[#This Row],[الكمية]]-Inventory_List_Table58[[#This Row],[الصادر]]</f>
        <v>9</v>
      </c>
      <c r="G136" s="61">
        <v>2.6</v>
      </c>
      <c r="H136" s="62">
        <f>Inventory_List_Table58[[#This Row],[التكلفة]]*Inventory_List_Table58[[#This Row],[الكمية]]</f>
        <v>23.400000000000002</v>
      </c>
      <c r="I136" s="37"/>
    </row>
    <row r="137" spans="1:9" ht="24" hidden="1" customHeight="1" thickTop="1" thickBot="1" x14ac:dyDescent="0.45">
      <c r="A137" s="46"/>
      <c r="B137" s="156" t="s">
        <v>681</v>
      </c>
      <c r="C137" s="127">
        <v>46234</v>
      </c>
      <c r="D137" s="141">
        <v>6</v>
      </c>
      <c r="E137" s="59"/>
      <c r="F137" s="58">
        <f>Inventory_List_Table58[[#This Row],[الكمية]]-Inventory_List_Table58[[#This Row],[الصادر]]</f>
        <v>6</v>
      </c>
      <c r="G137" s="61">
        <v>2.6</v>
      </c>
      <c r="H137" s="62">
        <f>Inventory_List_Table58[[#This Row],[التكلفة]]*Inventory_List_Table58[[#This Row],[الكمية]]</f>
        <v>15.600000000000001</v>
      </c>
      <c r="I137" s="37"/>
    </row>
    <row r="138" spans="1:9" ht="24" customHeight="1" thickTop="1" thickBot="1" x14ac:dyDescent="0.45">
      <c r="A138" s="46"/>
      <c r="B138" s="156"/>
      <c r="C138" s="127"/>
      <c r="D138" s="141"/>
      <c r="E138" s="59"/>
      <c r="F138" s="58"/>
      <c r="G138" s="61"/>
      <c r="H138" s="62"/>
      <c r="I138" s="37"/>
    </row>
    <row r="139" spans="1:9" ht="24" hidden="1" customHeight="1" thickTop="1" thickBot="1" x14ac:dyDescent="0.45">
      <c r="A139" s="48"/>
      <c r="B139" s="156" t="s">
        <v>744</v>
      </c>
      <c r="C139" s="127">
        <v>46234</v>
      </c>
      <c r="D139" s="141">
        <v>8</v>
      </c>
      <c r="E139" s="59"/>
      <c r="F139" s="58">
        <f>Inventory_List_Table58[[#This Row],[الكمية]]-Inventory_List_Table58[[#This Row],[الصادر]]</f>
        <v>8</v>
      </c>
      <c r="G139" s="61"/>
      <c r="H139" s="62">
        <f>Inventory_List_Table58[[#This Row],[التكلفة]]*Inventory_List_Table58[[#This Row],[الكمية]]</f>
        <v>0</v>
      </c>
      <c r="I139" s="37"/>
    </row>
    <row r="140" spans="1:9" ht="24" hidden="1" customHeight="1" thickTop="1" thickBot="1" x14ac:dyDescent="0.45">
      <c r="A140" s="46"/>
      <c r="B140" s="156" t="s">
        <v>745</v>
      </c>
      <c r="C140" s="127">
        <v>46234</v>
      </c>
      <c r="D140" s="141">
        <v>57</v>
      </c>
      <c r="E140" s="59"/>
      <c r="F140" s="58">
        <f>Inventory_List_Table58[[#This Row],[الكمية]]-Inventory_List_Table58[[#This Row],[الصادر]]</f>
        <v>57</v>
      </c>
      <c r="G140" s="61"/>
      <c r="H140" s="62">
        <f>Inventory_List_Table58[[#This Row],[التكلفة]]*Inventory_List_Table58[[#This Row],[الكمية]]</f>
        <v>0</v>
      </c>
      <c r="I140" s="37"/>
    </row>
    <row r="141" spans="1:9" ht="24" hidden="1" customHeight="1" thickTop="1" thickBot="1" x14ac:dyDescent="0.45">
      <c r="A141" s="46"/>
      <c r="B141" s="156" t="s">
        <v>746</v>
      </c>
      <c r="C141" s="127">
        <v>46234</v>
      </c>
      <c r="D141" s="141">
        <v>3</v>
      </c>
      <c r="E141" s="59"/>
      <c r="F141" s="58">
        <f>Inventory_List_Table58[[#This Row],[الكمية]]-Inventory_List_Table58[[#This Row],[الصادر]]</f>
        <v>3</v>
      </c>
      <c r="G141" s="61"/>
      <c r="H141" s="62">
        <f>Inventory_List_Table58[[#This Row],[التكلفة]]*Inventory_List_Table58[[#This Row],[الكمية]]</f>
        <v>0</v>
      </c>
      <c r="I141" s="37"/>
    </row>
    <row r="142" spans="1:9" ht="24" hidden="1" customHeight="1" thickTop="1" thickBot="1" x14ac:dyDescent="0.45">
      <c r="A142" s="46">
        <v>139</v>
      </c>
      <c r="B142" s="156" t="s">
        <v>747</v>
      </c>
      <c r="C142" s="127">
        <v>46234</v>
      </c>
      <c r="D142" s="141">
        <v>4</v>
      </c>
      <c r="E142" s="59"/>
      <c r="F142" s="58">
        <f>Inventory_List_Table58[[#This Row],[الكمية]]-Inventory_List_Table58[[#This Row],[الصادر]]</f>
        <v>4</v>
      </c>
      <c r="G142" s="61"/>
      <c r="H142" s="62">
        <f>Inventory_List_Table58[[#This Row],[التكلفة]]*Inventory_List_Table58[[#This Row],[الكمية]]</f>
        <v>0</v>
      </c>
      <c r="I142" s="37"/>
    </row>
    <row r="143" spans="1:9" ht="24" hidden="1" customHeight="1" thickTop="1" thickBot="1" x14ac:dyDescent="0.35">
      <c r="A143" s="46"/>
      <c r="B143" s="53" t="s">
        <v>748</v>
      </c>
      <c r="C143" s="127">
        <v>46234</v>
      </c>
      <c r="D143" s="58">
        <v>20</v>
      </c>
      <c r="E143" s="59"/>
      <c r="F143" s="58">
        <f>Inventory_List_Table58[[#This Row],[الكمية]]-Inventory_List_Table58[[#This Row],[الصادر]]</f>
        <v>20</v>
      </c>
      <c r="G143" s="60"/>
      <c r="H143" s="62">
        <f>Inventory_List_Table58[[#This Row],[التكلفة]]*Inventory_List_Table58[[#This Row],[الكمية]]</f>
        <v>0</v>
      </c>
      <c r="I143" s="37"/>
    </row>
    <row r="144" spans="1:9" ht="24" hidden="1" customHeight="1" thickTop="1" thickBot="1" x14ac:dyDescent="0.35">
      <c r="A144" s="48"/>
      <c r="B144" s="148"/>
      <c r="C144" s="58"/>
      <c r="D144" s="58"/>
      <c r="E144" s="59"/>
      <c r="F144" s="58">
        <f>Inventory_List_Table58[[#This Row],[الكمية]]-Inventory_List_Table58[[#This Row],[الصادر]]</f>
        <v>0</v>
      </c>
      <c r="G144" s="58"/>
      <c r="H144" s="62">
        <f>Inventory_List_Table58[[#This Row],[التكلفة]]*Inventory_List_Table58[[#This Row],[الكمية]]</f>
        <v>0</v>
      </c>
      <c r="I144" s="37"/>
    </row>
    <row r="145" spans="1:9" ht="24" hidden="1" customHeight="1" thickTop="1" thickBot="1" x14ac:dyDescent="0.35">
      <c r="A145" s="46">
        <v>142</v>
      </c>
      <c r="B145" s="148"/>
      <c r="C145" s="58"/>
      <c r="D145" s="58"/>
      <c r="E145" s="59"/>
      <c r="F145" s="58">
        <f>Inventory_List_Table58[[#This Row],[الكمية]]-Inventory_List_Table58[[#This Row],[الصادر]]</f>
        <v>0</v>
      </c>
      <c r="G145" s="60"/>
      <c r="H145" s="62">
        <f>Inventory_List_Table58[[#This Row],[التكلفة]]*Inventory_List_Table58[[#This Row],[الكمية]]</f>
        <v>0</v>
      </c>
      <c r="I145" s="37"/>
    </row>
    <row r="146" spans="1:9" ht="24" hidden="1" customHeight="1" thickTop="1" thickBot="1" x14ac:dyDescent="0.45">
      <c r="A146" s="46"/>
      <c r="B146" s="156"/>
      <c r="C146" s="64"/>
      <c r="D146" s="141"/>
      <c r="E146" s="84"/>
      <c r="F146" s="84"/>
      <c r="G146" s="61"/>
      <c r="H146" s="62"/>
      <c r="I146" s="37"/>
    </row>
    <row r="147" spans="1:9" ht="24" hidden="1" customHeight="1" thickTop="1" thickBot="1" x14ac:dyDescent="0.35">
      <c r="A147" s="46">
        <v>144</v>
      </c>
      <c r="B147" s="148"/>
      <c r="C147" s="58"/>
      <c r="D147" s="58"/>
      <c r="E147" s="59"/>
      <c r="F147" s="58">
        <f>Inventory_List_Table58[[#This Row],[الكمية]]-Inventory_List_Table58[[#This Row],[الصادر]]</f>
        <v>0</v>
      </c>
      <c r="G147" s="58"/>
      <c r="H147" s="62">
        <f>Inventory_List_Table58[[#This Row],[التكلفة]]*Inventory_List_Table58[[#This Row],[الكمية]]</f>
        <v>0</v>
      </c>
      <c r="I147" s="37"/>
    </row>
    <row r="148" spans="1:9" ht="24" hidden="1" customHeight="1" thickTop="1" thickBot="1" x14ac:dyDescent="0.35">
      <c r="A148" s="46">
        <v>145</v>
      </c>
      <c r="B148" s="148"/>
      <c r="C148" s="58"/>
      <c r="D148" s="58"/>
      <c r="E148" s="59"/>
      <c r="F148" s="58">
        <f>Inventory_List_Table58[[#This Row],[الكمية]]-Inventory_List_Table58[[#This Row],[الصادر]]</f>
        <v>0</v>
      </c>
      <c r="G148" s="58"/>
      <c r="H148" s="62">
        <f>Inventory_List_Table58[[#This Row],[التكلفة]]*Inventory_List_Table58[[#This Row],[الكمية]]</f>
        <v>0</v>
      </c>
      <c r="I148" s="37"/>
    </row>
    <row r="149" spans="1:9" ht="24" hidden="1" customHeight="1" thickTop="1" thickBot="1" x14ac:dyDescent="0.35">
      <c r="A149" s="48">
        <v>146</v>
      </c>
      <c r="B149" s="147"/>
      <c r="C149" s="128"/>
      <c r="D149" s="84"/>
      <c r="E149" s="84"/>
      <c r="F149" s="84"/>
      <c r="G149" s="61"/>
      <c r="H149" s="62"/>
      <c r="I149" s="37"/>
    </row>
    <row r="150" spans="1:9" ht="24" hidden="1" customHeight="1" thickTop="1" thickBot="1" x14ac:dyDescent="0.35">
      <c r="A150" s="46">
        <v>147</v>
      </c>
      <c r="B150" s="147"/>
      <c r="C150" s="64"/>
      <c r="D150" s="84"/>
      <c r="E150" s="84"/>
      <c r="F150" s="84"/>
      <c r="G150" s="62"/>
      <c r="H150" s="62"/>
      <c r="I150" s="37"/>
    </row>
    <row r="151" spans="1:9" ht="24" hidden="1" customHeight="1" thickTop="1" thickBot="1" x14ac:dyDescent="0.35">
      <c r="A151" s="46">
        <v>148</v>
      </c>
      <c r="B151" s="147"/>
      <c r="C151" s="64"/>
      <c r="D151" s="84"/>
      <c r="E151" s="84"/>
      <c r="F151" s="84"/>
      <c r="G151" s="61"/>
      <c r="H151" s="62"/>
      <c r="I151" s="37"/>
    </row>
    <row r="152" spans="1:9" ht="24" hidden="1" customHeight="1" thickTop="1" thickBot="1" x14ac:dyDescent="0.35">
      <c r="A152" s="46">
        <v>149</v>
      </c>
      <c r="B152" s="147"/>
      <c r="C152" s="64"/>
      <c r="D152" s="84"/>
      <c r="E152" s="84"/>
      <c r="F152" s="84"/>
      <c r="G152" s="62"/>
      <c r="H152" s="62"/>
      <c r="I152" s="37"/>
    </row>
    <row r="153" spans="1:9" ht="24" hidden="1" customHeight="1" thickTop="1" thickBot="1" x14ac:dyDescent="0.35">
      <c r="A153" s="46">
        <v>150</v>
      </c>
      <c r="B153" s="147"/>
      <c r="C153" s="64"/>
      <c r="D153" s="84"/>
      <c r="E153" s="84"/>
      <c r="F153" s="84"/>
      <c r="G153" s="62"/>
      <c r="H153" s="62"/>
      <c r="I153" s="37"/>
    </row>
    <row r="154" spans="1:9" ht="24" hidden="1" customHeight="1" thickTop="1" thickBot="1" x14ac:dyDescent="0.35">
      <c r="A154" s="48">
        <v>151</v>
      </c>
      <c r="B154" s="147"/>
      <c r="C154" s="64"/>
      <c r="D154" s="84"/>
      <c r="E154" s="84"/>
      <c r="F154" s="84"/>
      <c r="G154" s="62"/>
      <c r="H154" s="62"/>
      <c r="I154" s="37"/>
    </row>
    <row r="155" spans="1:9" ht="24" hidden="1" customHeight="1" thickTop="1" thickBot="1" x14ac:dyDescent="0.35">
      <c r="A155" s="46">
        <v>152</v>
      </c>
      <c r="B155" s="147"/>
      <c r="C155" s="64"/>
      <c r="D155" s="84"/>
      <c r="E155" s="84"/>
      <c r="F155" s="84"/>
      <c r="G155" s="61"/>
      <c r="H155" s="62"/>
      <c r="I155" s="37"/>
    </row>
    <row r="156" spans="1:9" ht="24" hidden="1" customHeight="1" thickTop="1" thickBot="1" x14ac:dyDescent="0.35">
      <c r="A156" s="46">
        <v>153</v>
      </c>
      <c r="B156" s="161"/>
      <c r="C156" s="64"/>
      <c r="D156" s="84"/>
      <c r="E156" s="84"/>
      <c r="F156" s="84"/>
      <c r="G156" s="62"/>
      <c r="H156" s="62"/>
      <c r="I156" s="37"/>
    </row>
    <row r="157" spans="1:9" ht="24" hidden="1" customHeight="1" thickTop="1" thickBot="1" x14ac:dyDescent="0.35">
      <c r="A157" s="46">
        <v>154</v>
      </c>
      <c r="B157" s="148"/>
      <c r="C157" s="64"/>
      <c r="D157" s="84"/>
      <c r="E157" s="84"/>
      <c r="F157" s="84"/>
      <c r="G157" s="62"/>
      <c r="H157" s="62"/>
      <c r="I157" s="37"/>
    </row>
    <row r="158" spans="1:9" ht="24" hidden="1" customHeight="1" thickTop="1" thickBot="1" x14ac:dyDescent="0.35">
      <c r="A158" s="46">
        <v>155</v>
      </c>
      <c r="B158" s="162"/>
      <c r="C158" s="64"/>
      <c r="D158" s="84"/>
      <c r="E158" s="84"/>
      <c r="F158" s="84"/>
      <c r="G158" s="143"/>
      <c r="H158" s="62"/>
      <c r="I158" s="37"/>
    </row>
    <row r="159" spans="1:9" ht="24" hidden="1" customHeight="1" thickTop="1" thickBot="1" x14ac:dyDescent="0.45">
      <c r="A159" s="46">
        <v>156</v>
      </c>
      <c r="B159" s="156"/>
      <c r="C159" s="64"/>
      <c r="D159" s="141"/>
      <c r="E159" s="84"/>
      <c r="F159" s="84"/>
      <c r="G159" s="61"/>
      <c r="H159" s="62"/>
      <c r="I159" s="37"/>
    </row>
    <row r="160" spans="1:9" ht="24" hidden="1" customHeight="1" thickTop="1" thickBot="1" x14ac:dyDescent="0.45">
      <c r="A160" s="46">
        <v>157</v>
      </c>
      <c r="B160" s="156"/>
      <c r="C160" s="64"/>
      <c r="D160" s="141"/>
      <c r="E160" s="84"/>
      <c r="F160" s="84"/>
      <c r="G160" s="61"/>
      <c r="H160" s="62"/>
      <c r="I160" s="37"/>
    </row>
    <row r="161" spans="1:9" ht="24" hidden="1" customHeight="1" thickTop="1" thickBot="1" x14ac:dyDescent="0.45">
      <c r="A161" s="46">
        <v>158</v>
      </c>
      <c r="B161" s="156"/>
      <c r="C161" s="64"/>
      <c r="D161" s="141"/>
      <c r="E161" s="84"/>
      <c r="F161" s="84"/>
      <c r="G161" s="61"/>
      <c r="H161" s="62"/>
      <c r="I161" s="37"/>
    </row>
    <row r="162" spans="1:9" ht="24" hidden="1" customHeight="1" thickTop="1" thickBot="1" x14ac:dyDescent="0.45">
      <c r="A162" s="46">
        <v>159</v>
      </c>
      <c r="B162" s="162"/>
      <c r="C162" s="64"/>
      <c r="D162" s="142"/>
      <c r="E162" s="84"/>
      <c r="F162" s="84"/>
      <c r="G162" s="143"/>
      <c r="H162" s="62"/>
      <c r="I162" s="37"/>
    </row>
    <row r="163" spans="1:9" ht="24" hidden="1" customHeight="1" thickTop="1" thickBot="1" x14ac:dyDescent="0.35">
      <c r="A163" s="46">
        <v>160</v>
      </c>
      <c r="B163" s="156"/>
      <c r="C163" s="58"/>
      <c r="D163" s="58"/>
      <c r="E163" s="59"/>
      <c r="F163" s="58">
        <f>Inventory_List_Table58[[#This Row],[الكمية]]-Inventory_List_Table58[[#This Row],[الصادر]]</f>
        <v>0</v>
      </c>
      <c r="G163" s="60"/>
      <c r="H163" s="62">
        <f>Inventory_List_Table58[[#This Row],[التكلفة]]*Inventory_List_Table58[[#This Row],[الكمية]]</f>
        <v>0</v>
      </c>
      <c r="I163" s="37"/>
    </row>
    <row r="164" spans="1:9" ht="24" hidden="1" customHeight="1" thickTop="1" thickBot="1" x14ac:dyDescent="0.35">
      <c r="A164" s="46">
        <v>161</v>
      </c>
      <c r="B164" s="148"/>
      <c r="C164" s="58"/>
      <c r="D164" s="58"/>
      <c r="E164" s="59"/>
      <c r="F164" s="58">
        <f>Inventory_List_Table58[[#This Row],[الكمية]]-Inventory_List_Table58[[#This Row],[الصادر]]</f>
        <v>0</v>
      </c>
      <c r="G164" s="60"/>
      <c r="H164" s="62">
        <f>Inventory_List_Table58[[#This Row],[التكلفة]]*Inventory_List_Table58[[#This Row],[الكمية]]</f>
        <v>0</v>
      </c>
      <c r="I164" s="37"/>
    </row>
    <row r="165" spans="1:9" ht="24" hidden="1" customHeight="1" thickTop="1" thickBot="1" x14ac:dyDescent="0.35">
      <c r="A165" s="46">
        <v>162</v>
      </c>
      <c r="B165" s="156"/>
      <c r="C165" s="58"/>
      <c r="D165" s="58"/>
      <c r="E165" s="59"/>
      <c r="F165" s="58">
        <f>Inventory_List_Table58[[#This Row],[الكمية]]-Inventory_List_Table58[[#This Row],[الصادر]]</f>
        <v>0</v>
      </c>
      <c r="G165" s="58"/>
      <c r="H165" s="62">
        <f>Inventory_List_Table58[[#This Row],[التكلفة]]*Inventory_List_Table58[[#This Row],[الكمية]]</f>
        <v>0</v>
      </c>
      <c r="I165" s="37"/>
    </row>
    <row r="166" spans="1:9" ht="24" hidden="1" customHeight="1" thickTop="1" thickBot="1" x14ac:dyDescent="0.35">
      <c r="A166" s="46">
        <v>163</v>
      </c>
      <c r="B166" s="156"/>
      <c r="C166" s="58"/>
      <c r="D166" s="58"/>
      <c r="E166" s="59"/>
      <c r="F166" s="58">
        <f>Inventory_List_Table58[[#This Row],[الكمية]]-Inventory_List_Table58[[#This Row],[الصادر]]</f>
        <v>0</v>
      </c>
      <c r="G166" s="60"/>
      <c r="H166" s="62">
        <f>Inventory_List_Table58[[#This Row],[التكلفة]]*Inventory_List_Table58[[#This Row],[الكمية]]</f>
        <v>0</v>
      </c>
      <c r="I166" s="37"/>
    </row>
    <row r="167" spans="1:9" ht="24" hidden="1" customHeight="1" thickTop="1" thickBot="1" x14ac:dyDescent="0.35">
      <c r="A167" s="46">
        <v>164</v>
      </c>
      <c r="B167" s="148"/>
      <c r="C167" s="58"/>
      <c r="D167" s="58"/>
      <c r="E167" s="59"/>
      <c r="F167" s="58">
        <f>Inventory_List_Table58[[#This Row],[الكمية]]-Inventory_List_Table58[[#This Row],[الصادر]]</f>
        <v>0</v>
      </c>
      <c r="G167" s="58"/>
      <c r="H167" s="62">
        <f>Inventory_List_Table58[[#This Row],[التكلفة]]*Inventory_List_Table58[[#This Row],[الكمية]]</f>
        <v>0</v>
      </c>
      <c r="I167" s="37"/>
    </row>
    <row r="168" spans="1:9" ht="24" hidden="1" customHeight="1" thickTop="1" thickBot="1" x14ac:dyDescent="0.35">
      <c r="A168" s="46">
        <v>165</v>
      </c>
      <c r="B168" s="148"/>
      <c r="C168" s="58"/>
      <c r="D168" s="58"/>
      <c r="E168" s="59"/>
      <c r="F168" s="58">
        <f>Inventory_List_Table58[[#This Row],[الكمية]]-Inventory_List_Table58[[#This Row],[الصادر]]</f>
        <v>0</v>
      </c>
      <c r="G168" s="58"/>
      <c r="H168" s="62">
        <f>Inventory_List_Table58[[#This Row],[التكلفة]]*Inventory_List_Table58[[#This Row],[الكمية]]</f>
        <v>0</v>
      </c>
      <c r="I168" s="37"/>
    </row>
    <row r="169" spans="1:9" ht="24" hidden="1" customHeight="1" thickTop="1" thickBot="1" x14ac:dyDescent="0.35">
      <c r="A169" s="46">
        <v>166</v>
      </c>
      <c r="B169" s="148"/>
      <c r="C169" s="58"/>
      <c r="D169" s="58"/>
      <c r="E169" s="59"/>
      <c r="F169" s="58">
        <f>Inventory_List_Table58[[#This Row],[الكمية]]-Inventory_List_Table58[[#This Row],[الصادر]]</f>
        <v>0</v>
      </c>
      <c r="G169" s="58"/>
      <c r="H169" s="62">
        <f>Inventory_List_Table58[[#This Row],[التكلفة]]*Inventory_List_Table58[[#This Row],[الكمية]]</f>
        <v>0</v>
      </c>
      <c r="I169" s="37"/>
    </row>
    <row r="170" spans="1:9" ht="24" hidden="1" customHeight="1" thickTop="1" thickBot="1" x14ac:dyDescent="0.35">
      <c r="A170" s="46">
        <v>167</v>
      </c>
      <c r="B170" s="156"/>
      <c r="C170" s="58"/>
      <c r="D170" s="58"/>
      <c r="E170" s="59"/>
      <c r="F170" s="58">
        <f>Inventory_List_Table58[[#This Row],[الكمية]]-Inventory_List_Table58[[#This Row],[الصادر]]</f>
        <v>0</v>
      </c>
      <c r="G170" s="60"/>
      <c r="H170" s="62">
        <f>Inventory_List_Table58[[#This Row],[التكلفة]]*Inventory_List_Table58[[#This Row],[الكمية]]</f>
        <v>0</v>
      </c>
      <c r="I170" s="37"/>
    </row>
    <row r="171" spans="1:9" ht="24" hidden="1" customHeight="1" thickTop="1" thickBot="1" x14ac:dyDescent="0.35">
      <c r="A171" s="46">
        <v>168</v>
      </c>
      <c r="B171" s="148"/>
      <c r="C171" s="58"/>
      <c r="D171" s="58"/>
      <c r="E171" s="59"/>
      <c r="F171" s="58">
        <f>Inventory_List_Table58[[#This Row],[الكمية]]-Inventory_List_Table58[[#This Row],[الصادر]]</f>
        <v>0</v>
      </c>
      <c r="G171" s="60"/>
      <c r="H171" s="62">
        <f>Inventory_List_Table58[[#This Row],[التكلفة]]*Inventory_List_Table58[[#This Row],[الكمية]]</f>
        <v>0</v>
      </c>
      <c r="I171" s="37"/>
    </row>
    <row r="172" spans="1:9" ht="24" hidden="1" customHeight="1" thickTop="1" thickBot="1" x14ac:dyDescent="0.35">
      <c r="A172" s="46">
        <v>169</v>
      </c>
      <c r="B172" s="148"/>
      <c r="C172" s="58"/>
      <c r="D172" s="58"/>
      <c r="E172" s="59"/>
      <c r="F172" s="58">
        <f>Inventory_List_Table58[[#This Row],[الكمية]]-Inventory_List_Table58[[#This Row],[الصادر]]</f>
        <v>0</v>
      </c>
      <c r="G172" s="58"/>
      <c r="H172" s="62">
        <f>Inventory_List_Table58[[#This Row],[التكلفة]]*Inventory_List_Table58[[#This Row],[الكمية]]</f>
        <v>0</v>
      </c>
      <c r="I172" s="37"/>
    </row>
    <row r="173" spans="1:9" ht="24" hidden="1" customHeight="1" thickTop="1" thickBot="1" x14ac:dyDescent="0.35">
      <c r="A173" s="46">
        <v>170</v>
      </c>
      <c r="B173" s="148"/>
      <c r="C173" s="58"/>
      <c r="D173" s="58"/>
      <c r="E173" s="59"/>
      <c r="F173" s="58">
        <f>Inventory_List_Table58[[#This Row],[الكمية]]-Inventory_List_Table58[[#This Row],[الصادر]]</f>
        <v>0</v>
      </c>
      <c r="G173" s="58"/>
      <c r="H173" s="62" t="e">
        <f>[1]!الجدول2[[#This Row],[التكلفة]]*[1]!الجدول2[[#This Row],[سحب أيوب ]]</f>
        <v>#REF!</v>
      </c>
      <c r="I173" s="37"/>
    </row>
    <row r="174" spans="1:9" ht="24" hidden="1" customHeight="1" thickTop="1" thickBot="1" x14ac:dyDescent="0.35">
      <c r="A174" s="46">
        <v>171</v>
      </c>
      <c r="B174" s="148"/>
      <c r="C174" s="58"/>
      <c r="D174" s="58"/>
      <c r="E174" s="59"/>
      <c r="F174" s="58">
        <f>Inventory_List_Table58[[#This Row],[الكمية]]-Inventory_List_Table58[[#This Row],[الصادر]]</f>
        <v>0</v>
      </c>
      <c r="G174" s="60"/>
      <c r="H174" s="61" t="e">
        <f>[1]!الجدول2[[#This Row],[التكلفة]]*[1]!الجدول2[[#This Row],[سحب أيوب ]]</f>
        <v>#REF!</v>
      </c>
      <c r="I174" s="37"/>
    </row>
    <row r="175" spans="1:9" ht="24" hidden="1" customHeight="1" thickTop="1" thickBot="1" x14ac:dyDescent="0.35">
      <c r="A175" s="46">
        <v>172</v>
      </c>
      <c r="B175" s="148"/>
      <c r="C175" s="58"/>
      <c r="D175" s="58"/>
      <c r="E175" s="59"/>
      <c r="F175" s="58">
        <f>Inventory_List_Table58[[#This Row],[الكمية]]-Inventory_List_Table58[[#This Row],[الصادر]]</f>
        <v>0</v>
      </c>
      <c r="G175" s="60"/>
      <c r="H175" s="61" t="e">
        <f>[1]!الجدول2[[#This Row],[التكلفة]]*[1]!الجدول2[[#This Row],[سحب أيوب ]]</f>
        <v>#REF!</v>
      </c>
      <c r="I175" s="37"/>
    </row>
    <row r="176" spans="1:9" ht="24" hidden="1" customHeight="1" thickTop="1" thickBot="1" x14ac:dyDescent="0.35">
      <c r="A176" s="46">
        <v>173</v>
      </c>
      <c r="B176" s="148"/>
      <c r="C176" s="58"/>
      <c r="D176" s="58"/>
      <c r="E176" s="59"/>
      <c r="F176" s="58">
        <f>Inventory_List_Table58[[#This Row],[الكمية]]-Inventory_List_Table58[[#This Row],[الصادر]]</f>
        <v>0</v>
      </c>
      <c r="G176" s="60"/>
      <c r="H176" s="61" t="e">
        <f>[1]!الجدول2[[#This Row],[التكلفة]]*[1]!الجدول2[[#This Row],[سحب أيوب ]]</f>
        <v>#REF!</v>
      </c>
      <c r="I176" s="37"/>
    </row>
    <row r="177" spans="1:9" ht="24" hidden="1" customHeight="1" thickTop="1" thickBot="1" x14ac:dyDescent="0.35">
      <c r="A177" s="46">
        <v>174</v>
      </c>
      <c r="B177" s="148"/>
      <c r="C177" s="58"/>
      <c r="D177" s="58"/>
      <c r="E177" s="59"/>
      <c r="F177" s="58">
        <f>Inventory_List_Table58[[#This Row],[الكمية]]-Inventory_List_Table58[[#This Row],[الصادر]]</f>
        <v>0</v>
      </c>
      <c r="G177" s="60"/>
      <c r="H177" s="61" t="e">
        <f>[1]!الجدول2[[#This Row],[التكلفة]]*[1]!الجدول2[[#This Row],[سحب أيوب ]]</f>
        <v>#REF!</v>
      </c>
      <c r="I177" s="37"/>
    </row>
    <row r="178" spans="1:9" ht="24" hidden="1" customHeight="1" thickTop="1" thickBot="1" x14ac:dyDescent="0.35">
      <c r="A178" s="46">
        <v>175</v>
      </c>
      <c r="B178" s="148"/>
      <c r="C178" s="58"/>
      <c r="D178" s="58"/>
      <c r="E178" s="59"/>
      <c r="F178" s="58">
        <f>Inventory_List_Table58[[#This Row],[الكمية]]-Inventory_List_Table58[[#This Row],[الصادر]]</f>
        <v>0</v>
      </c>
      <c r="G178" s="58"/>
      <c r="H178" s="62" t="e">
        <f>[1]!الجدول2[[#This Row],[التكلفة]]*[1]!الجدول2[[#This Row],[سحب أيوب ]]</f>
        <v>#REF!</v>
      </c>
      <c r="I178" s="37"/>
    </row>
    <row r="179" spans="1:9" ht="24" hidden="1" customHeight="1" thickTop="1" thickBot="1" x14ac:dyDescent="0.35">
      <c r="A179" s="46">
        <v>176</v>
      </c>
      <c r="B179" s="148"/>
      <c r="C179" s="58"/>
      <c r="D179" s="58"/>
      <c r="E179" s="59"/>
      <c r="F179" s="58">
        <f>Inventory_List_Table58[[#This Row],[الكمية]]-Inventory_List_Table58[[#This Row],[الصادر]]</f>
        <v>0</v>
      </c>
      <c r="G179" s="60"/>
      <c r="H179" s="61" t="e">
        <f>[1]!الجدول2[[#This Row],[التكلفة]]*[1]!الجدول2[[#This Row],[سحب أيوب ]]</f>
        <v>#REF!</v>
      </c>
      <c r="I179" s="37"/>
    </row>
    <row r="180" spans="1:9" ht="24" hidden="1" customHeight="1" thickTop="1" thickBot="1" x14ac:dyDescent="0.35">
      <c r="A180" s="46">
        <v>177</v>
      </c>
      <c r="B180" s="148"/>
      <c r="C180" s="58"/>
      <c r="D180" s="58"/>
      <c r="E180" s="59"/>
      <c r="F180" s="58">
        <f>Inventory_List_Table58[[#This Row],[الكمية]]-Inventory_List_Table58[[#This Row],[الصادر]]</f>
        <v>0</v>
      </c>
      <c r="G180" s="60"/>
      <c r="H180" s="61" t="e">
        <f>[1]!الجدول2[[#This Row],[التكلفة]]*[1]!الجدول2[[#This Row],[سحب أيوب ]]</f>
        <v>#REF!</v>
      </c>
      <c r="I180" s="37"/>
    </row>
    <row r="181" spans="1:9" ht="24" hidden="1" customHeight="1" thickTop="1" thickBot="1" x14ac:dyDescent="0.35">
      <c r="A181" s="46">
        <v>178</v>
      </c>
      <c r="B181" s="148"/>
      <c r="C181" s="58"/>
      <c r="D181" s="58"/>
      <c r="E181" s="59"/>
      <c r="F181" s="58">
        <f>Inventory_List_Table58[[#This Row],[الكمية]]-Inventory_List_Table58[[#This Row],[الصادر]]</f>
        <v>0</v>
      </c>
      <c r="G181" s="60"/>
      <c r="H181" s="61" t="e">
        <f>[1]!الجدول2[[#This Row],[التكلفة]]*[1]!الجدول2[[#This Row],[سحب أيوب ]]</f>
        <v>#REF!</v>
      </c>
      <c r="I181" s="37"/>
    </row>
    <row r="182" spans="1:9" ht="24" hidden="1" customHeight="1" thickTop="1" thickBot="1" x14ac:dyDescent="0.35">
      <c r="A182" s="46">
        <v>179</v>
      </c>
      <c r="B182" s="148"/>
      <c r="C182" s="58"/>
      <c r="D182" s="58"/>
      <c r="E182" s="59"/>
      <c r="F182" s="58">
        <f>Inventory_List_Table58[[#This Row],[الكمية]]-Inventory_List_Table58[[#This Row],[الصادر]]</f>
        <v>0</v>
      </c>
      <c r="G182" s="58"/>
      <c r="H182" s="62" t="e">
        <f>[1]!الجدول2[[#This Row],[التكلفة]]*[1]!الجدول2[[#This Row],[سحب أيوب ]]</f>
        <v>#REF!</v>
      </c>
      <c r="I182" s="37"/>
    </row>
    <row r="183" spans="1:9" ht="24" hidden="1" customHeight="1" thickTop="1" thickBot="1" x14ac:dyDescent="0.35">
      <c r="A183" s="46">
        <v>180</v>
      </c>
      <c r="B183" s="148"/>
      <c r="C183" s="58"/>
      <c r="D183" s="58"/>
      <c r="E183" s="59"/>
      <c r="F183" s="58">
        <f>Inventory_List_Table58[[#This Row],[الكمية]]-Inventory_List_Table58[[#This Row],[الصادر]]</f>
        <v>0</v>
      </c>
      <c r="G183" s="58"/>
      <c r="H183" s="62" t="e">
        <f>[1]!الجدول2[[#This Row],[التكلفة]]*[1]!الجدول2[[#This Row],[سحب أيوب ]]</f>
        <v>#REF!</v>
      </c>
      <c r="I183" s="37"/>
    </row>
    <row r="184" spans="1:9" ht="24" hidden="1" customHeight="1" thickTop="1" thickBot="1" x14ac:dyDescent="0.35">
      <c r="A184" s="46">
        <v>181</v>
      </c>
      <c r="B184" s="148"/>
      <c r="C184" s="58"/>
      <c r="D184" s="58"/>
      <c r="E184" s="59"/>
      <c r="F184" s="58">
        <f>Inventory_List_Table58[[#This Row],[الكمية]]-Inventory_List_Table58[[#This Row],[الصادر]]</f>
        <v>0</v>
      </c>
      <c r="G184" s="58"/>
      <c r="H184" s="62" t="e">
        <f>[1]!الجدول2[[#This Row],[التكلفة]]*[1]!الجدول2[[#This Row],[سحب أيوب ]]</f>
        <v>#REF!</v>
      </c>
      <c r="I184" s="37"/>
    </row>
    <row r="185" spans="1:9" ht="24" hidden="1" customHeight="1" thickTop="1" thickBot="1" x14ac:dyDescent="0.35">
      <c r="A185" s="46">
        <v>182</v>
      </c>
      <c r="B185" s="148"/>
      <c r="C185" s="58"/>
      <c r="D185" s="58"/>
      <c r="E185" s="59"/>
      <c r="F185" s="58">
        <f>Inventory_List_Table58[[#This Row],[الكمية]]-Inventory_List_Table58[[#This Row],[الصادر]]</f>
        <v>0</v>
      </c>
      <c r="G185" s="60"/>
      <c r="H185" s="61" t="e">
        <f>[1]!الجدول2[[#This Row],[التكلفة]]*[1]!الجدول2[[#This Row],[سحب أيوب ]]</f>
        <v>#REF!</v>
      </c>
      <c r="I185" s="37"/>
    </row>
    <row r="186" spans="1:9" ht="24" hidden="1" customHeight="1" thickTop="1" thickBot="1" x14ac:dyDescent="0.35">
      <c r="A186" s="46">
        <v>183</v>
      </c>
      <c r="B186" s="148"/>
      <c r="C186" s="58"/>
      <c r="D186" s="58"/>
      <c r="E186" s="59"/>
      <c r="F186" s="58">
        <f>Inventory_List_Table58[[#This Row],[الكمية]]-Inventory_List_Table58[[#This Row],[الصادر]]</f>
        <v>0</v>
      </c>
      <c r="G186" s="58"/>
      <c r="H186" s="62" t="e">
        <f>[1]!الجدول2[[#This Row],[التكلفة]]*[1]!الجدول2[[#This Row],[سحب أيوب ]]</f>
        <v>#REF!</v>
      </c>
      <c r="I186" s="37"/>
    </row>
    <row r="187" spans="1:9" ht="24" hidden="1" customHeight="1" thickTop="1" thickBot="1" x14ac:dyDescent="0.35">
      <c r="A187" s="46">
        <v>184</v>
      </c>
      <c r="B187" s="148"/>
      <c r="C187" s="58"/>
      <c r="D187" s="58"/>
      <c r="E187" s="59"/>
      <c r="F187" s="58">
        <f>Inventory_List_Table58[[#This Row],[الكمية]]-Inventory_List_Table58[[#This Row],[الصادر]]</f>
        <v>0</v>
      </c>
      <c r="G187" s="58"/>
      <c r="H187" s="62" t="e">
        <f>[1]!الجدول2[[#This Row],[التكلفة]]*[1]!الجدول2[[#This Row],[سحب أيوب ]]</f>
        <v>#REF!</v>
      </c>
      <c r="I187" s="37"/>
    </row>
    <row r="188" spans="1:9" ht="24" hidden="1" customHeight="1" thickTop="1" thickBot="1" x14ac:dyDescent="0.35">
      <c r="A188" s="46">
        <v>185</v>
      </c>
      <c r="B188" s="148"/>
      <c r="C188" s="58"/>
      <c r="D188" s="58"/>
      <c r="E188" s="59"/>
      <c r="F188" s="58">
        <f>Inventory_List_Table58[[#This Row],[الكمية]]-Inventory_List_Table58[[#This Row],[الصادر]]</f>
        <v>0</v>
      </c>
      <c r="G188" s="60"/>
      <c r="H188" s="61" t="e">
        <f>[1]!الجدول2[[#This Row],[التكلفة]]*[1]!الجدول2[[#This Row],[سحب أيوب ]]</f>
        <v>#REF!</v>
      </c>
      <c r="I188" s="37"/>
    </row>
    <row r="189" spans="1:9" ht="24" hidden="1" customHeight="1" thickTop="1" thickBot="1" x14ac:dyDescent="0.35">
      <c r="A189" s="46">
        <v>186</v>
      </c>
      <c r="B189" s="148"/>
      <c r="C189" s="58"/>
      <c r="D189" s="58"/>
      <c r="E189" s="59"/>
      <c r="F189" s="58">
        <f>Inventory_List_Table58[[#This Row],[الكمية]]-Inventory_List_Table58[[#This Row],[الصادر]]</f>
        <v>0</v>
      </c>
      <c r="G189" s="58"/>
      <c r="H189" s="62" t="e">
        <f>[1]!الجدول2[[#This Row],[التكلفة]]*[1]!الجدول2[[#This Row],[سحب أيوب ]]</f>
        <v>#REF!</v>
      </c>
      <c r="I189" s="37"/>
    </row>
    <row r="190" spans="1:9" ht="24" hidden="1" customHeight="1" thickTop="1" thickBot="1" x14ac:dyDescent="0.35">
      <c r="A190" s="46">
        <v>187</v>
      </c>
      <c r="B190" s="148"/>
      <c r="C190" s="58"/>
      <c r="D190" s="58"/>
      <c r="E190" s="59"/>
      <c r="F190" s="58">
        <f>Inventory_List_Table58[[#This Row],[الكمية]]-Inventory_List_Table58[[#This Row],[الصادر]]</f>
        <v>0</v>
      </c>
      <c r="G190" s="60"/>
      <c r="H190" s="61" t="e">
        <f>[1]!الجدول2[[#This Row],[التكلفة]]*[1]!الجدول2[[#This Row],[سحب أيوب ]]</f>
        <v>#REF!</v>
      </c>
      <c r="I190" s="37"/>
    </row>
    <row r="191" spans="1:9" ht="24" hidden="1" customHeight="1" thickTop="1" thickBot="1" x14ac:dyDescent="0.35">
      <c r="A191" s="46">
        <v>188</v>
      </c>
      <c r="B191" s="148"/>
      <c r="C191" s="58"/>
      <c r="D191" s="58"/>
      <c r="E191" s="59"/>
      <c r="F191" s="58">
        <f>Inventory_List_Table58[[#This Row],[الكمية]]-Inventory_List_Table58[[#This Row],[الصادر]]</f>
        <v>0</v>
      </c>
      <c r="G191" s="58"/>
      <c r="H191" s="62" t="e">
        <f>[1]!الجدول2[[#This Row],[التكلفة]]*[1]!الجدول2[[#This Row],[سحب أيوب ]]</f>
        <v>#REF!</v>
      </c>
      <c r="I191" s="37"/>
    </row>
    <row r="192" spans="1:9" ht="24" hidden="1" customHeight="1" thickTop="1" thickBot="1" x14ac:dyDescent="0.35">
      <c r="A192" s="46">
        <v>189</v>
      </c>
      <c r="B192" s="148"/>
      <c r="C192" s="58"/>
      <c r="D192" s="58"/>
      <c r="E192" s="59"/>
      <c r="F192" s="58">
        <f>Inventory_List_Table58[[#This Row],[الكمية]]-Inventory_List_Table58[[#This Row],[الصادر]]</f>
        <v>0</v>
      </c>
      <c r="G192" s="58"/>
      <c r="H192" s="62" t="e">
        <f>[1]!الجدول2[[#This Row],[التكلفة]]*[1]!الجدول2[[#This Row],[سحب أيوب ]]</f>
        <v>#REF!</v>
      </c>
      <c r="I192" s="37"/>
    </row>
    <row r="193" spans="1:9" ht="24" hidden="1" customHeight="1" thickTop="1" thickBot="1" x14ac:dyDescent="0.35">
      <c r="A193" s="46">
        <v>190</v>
      </c>
      <c r="B193" s="148"/>
      <c r="C193" s="58"/>
      <c r="D193" s="58"/>
      <c r="E193" s="59"/>
      <c r="F193" s="58">
        <f>Inventory_List_Table58[[#This Row],[الكمية]]-Inventory_List_Table58[[#This Row],[الصادر]]</f>
        <v>0</v>
      </c>
      <c r="G193" s="58"/>
      <c r="H193" s="62" t="e">
        <f>[1]!الجدول2[[#This Row],[التكلفة]]*[1]!الجدول2[[#This Row],[سحب أيوب ]]</f>
        <v>#REF!</v>
      </c>
      <c r="I193" s="37"/>
    </row>
    <row r="194" spans="1:9" ht="24" hidden="1" customHeight="1" thickTop="1" thickBot="1" x14ac:dyDescent="0.35">
      <c r="A194" s="46">
        <v>191</v>
      </c>
      <c r="B194" s="148"/>
      <c r="C194" s="58"/>
      <c r="D194" s="58"/>
      <c r="E194" s="59"/>
      <c r="F194" s="58">
        <f>Inventory_List_Table58[[#This Row],[الكمية]]-Inventory_List_Table58[[#This Row],[الصادر]]</f>
        <v>0</v>
      </c>
      <c r="G194" s="60"/>
      <c r="H194" s="61" t="e">
        <f>[1]!الجدول2[[#This Row],[التكلفة]]*[1]!الجدول2[[#This Row],[سحب أيوب ]]</f>
        <v>#REF!</v>
      </c>
      <c r="I194" s="37"/>
    </row>
    <row r="195" spans="1:9" ht="24" hidden="1" customHeight="1" thickTop="1" thickBot="1" x14ac:dyDescent="0.35">
      <c r="A195" s="46">
        <v>192</v>
      </c>
      <c r="B195" s="148"/>
      <c r="C195" s="58"/>
      <c r="D195" s="58"/>
      <c r="E195" s="59"/>
      <c r="F195" s="58">
        <f>Inventory_List_Table58[[#This Row],[الكمية]]-Inventory_List_Table58[[#This Row],[الصادر]]</f>
        <v>0</v>
      </c>
      <c r="G195" s="60"/>
      <c r="H195" s="61" t="e">
        <f>[1]!الجدول2[[#This Row],[التكلفة]]*[1]!الجدول2[[#This Row],[سحب أيوب ]]</f>
        <v>#REF!</v>
      </c>
      <c r="I195" s="37"/>
    </row>
    <row r="196" spans="1:9" ht="24" hidden="1" customHeight="1" thickTop="1" thickBot="1" x14ac:dyDescent="0.35">
      <c r="A196" s="46">
        <v>193</v>
      </c>
      <c r="B196" s="148"/>
      <c r="C196" s="58"/>
      <c r="D196" s="58"/>
      <c r="E196" s="59"/>
      <c r="F196" s="58">
        <f>Inventory_List_Table58[[#This Row],[الكمية]]-Inventory_List_Table58[[#This Row],[الصادر]]</f>
        <v>0</v>
      </c>
      <c r="G196" s="60"/>
      <c r="H196" s="61" t="e">
        <f>[1]!الجدول2[[#This Row],[التكلفة]]*[1]!الجدول2[[#This Row],[سحب أيوب ]]</f>
        <v>#REF!</v>
      </c>
      <c r="I196" s="37"/>
    </row>
    <row r="197" spans="1:9" ht="24" hidden="1" customHeight="1" thickTop="1" thickBot="1" x14ac:dyDescent="0.35">
      <c r="A197" s="46">
        <v>194</v>
      </c>
      <c r="B197" s="148"/>
      <c r="C197" s="58"/>
      <c r="D197" s="58"/>
      <c r="E197" s="59"/>
      <c r="F197" s="58">
        <f>Inventory_List_Table58[[#This Row],[الكمية]]-Inventory_List_Table58[[#This Row],[الصادر]]</f>
        <v>0</v>
      </c>
      <c r="G197" s="58"/>
      <c r="H197" s="62" t="e">
        <f>[1]!الجدول2[[#This Row],[التكلفة]]*[1]!الجدول2[[#This Row],[سحب أيوب ]]</f>
        <v>#REF!</v>
      </c>
      <c r="I197" s="37"/>
    </row>
    <row r="198" spans="1:9" ht="24" hidden="1" customHeight="1" thickTop="1" thickBot="1" x14ac:dyDescent="0.35">
      <c r="A198" s="46">
        <v>195</v>
      </c>
      <c r="B198" s="148"/>
      <c r="C198" s="58"/>
      <c r="D198" s="58"/>
      <c r="E198" s="59"/>
      <c r="F198" s="58">
        <f>Inventory_List_Table58[[#This Row],[الكمية]]-Inventory_List_Table58[[#This Row],[الصادر]]</f>
        <v>0</v>
      </c>
      <c r="G198" s="60"/>
      <c r="H198" s="61" t="e">
        <f>[1]!الجدول2[[#This Row],[التكلفة]]*[1]!الجدول2[[#This Row],[سحب أيوب ]]</f>
        <v>#REF!</v>
      </c>
      <c r="I198" s="37"/>
    </row>
    <row r="199" spans="1:9" ht="24" hidden="1" customHeight="1" thickTop="1" thickBot="1" x14ac:dyDescent="0.35">
      <c r="A199" s="46">
        <v>196</v>
      </c>
      <c r="B199" s="148"/>
      <c r="C199" s="58"/>
      <c r="D199" s="58"/>
      <c r="E199" s="59"/>
      <c r="F199" s="58">
        <f>Inventory_List_Table58[[#This Row],[الكمية]]-Inventory_List_Table58[[#This Row],[الصادر]]</f>
        <v>0</v>
      </c>
      <c r="G199" s="60"/>
      <c r="H199" s="61" t="e">
        <f>[1]!الجدول2[[#This Row],[التكلفة]]*[1]!الجدول2[[#This Row],[سحب أيوب ]]</f>
        <v>#REF!</v>
      </c>
      <c r="I199" s="37"/>
    </row>
    <row r="200" spans="1:9" ht="24" hidden="1" customHeight="1" thickTop="1" thickBot="1" x14ac:dyDescent="0.35">
      <c r="A200" s="46">
        <v>197</v>
      </c>
      <c r="B200" s="148"/>
      <c r="C200" s="58"/>
      <c r="D200" s="58"/>
      <c r="E200" s="59"/>
      <c r="F200" s="58">
        <f>Inventory_List_Table58[[#This Row],[الكمية]]-Inventory_List_Table58[[#This Row],[الصادر]]</f>
        <v>0</v>
      </c>
      <c r="G200" s="58"/>
      <c r="H200" s="62" t="e">
        <f>[1]!الجدول2[[#This Row],[التكلفة]]*[1]!الجدول2[[#This Row],[سحب أيوب ]]</f>
        <v>#REF!</v>
      </c>
      <c r="I200" s="37"/>
    </row>
    <row r="201" spans="1:9" ht="24" hidden="1" customHeight="1" thickTop="1" thickBot="1" x14ac:dyDescent="0.35">
      <c r="A201" s="46">
        <v>198</v>
      </c>
      <c r="B201" s="148"/>
      <c r="C201" s="58"/>
      <c r="D201" s="58"/>
      <c r="E201" s="59"/>
      <c r="F201" s="58">
        <f>Inventory_List_Table58[[#This Row],[الكمية]]-Inventory_List_Table58[[#This Row],[الصادر]]</f>
        <v>0</v>
      </c>
      <c r="G201" s="60"/>
      <c r="H201" s="61" t="e">
        <f>[1]!الجدول2[[#This Row],[التكلفة]]*[1]!الجدول2[[#This Row],[سحب أيوب ]]</f>
        <v>#REF!</v>
      </c>
      <c r="I201" s="37"/>
    </row>
    <row r="202" spans="1:9" ht="24" hidden="1" customHeight="1" thickTop="1" thickBot="1" x14ac:dyDescent="0.35">
      <c r="A202" s="46">
        <v>199</v>
      </c>
      <c r="B202" s="148"/>
      <c r="C202" s="58"/>
      <c r="D202" s="58"/>
      <c r="E202" s="59"/>
      <c r="F202" s="58">
        <f>Inventory_List_Table58[[#This Row],[الكمية]]-Inventory_List_Table58[[#This Row],[الصادر]]</f>
        <v>0</v>
      </c>
      <c r="G202" s="58"/>
      <c r="H202" s="62" t="e">
        <f>[1]!الجدول2[[#This Row],[التكلفة]]*[1]!الجدول2[[#This Row],[سحب أيوب ]]</f>
        <v>#REF!</v>
      </c>
      <c r="I202" s="37"/>
    </row>
    <row r="203" spans="1:9" ht="24" hidden="1" customHeight="1" thickTop="1" thickBot="1" x14ac:dyDescent="0.35">
      <c r="A203" s="46">
        <v>200</v>
      </c>
      <c r="B203" s="148"/>
      <c r="C203" s="58"/>
      <c r="D203" s="58"/>
      <c r="E203" s="59"/>
      <c r="F203" s="58">
        <f>Inventory_List_Table58[[#This Row],[الكمية]]-Inventory_List_Table58[[#This Row],[الصادر]]</f>
        <v>0</v>
      </c>
      <c r="G203" s="60"/>
      <c r="H203" s="61" t="e">
        <f>[1]!الجدول2[[#This Row],[التكلفة]]*[1]!الجدول2[[#This Row],[سحب أيوب ]]</f>
        <v>#REF!</v>
      </c>
      <c r="I203" s="37"/>
    </row>
    <row r="204" spans="1:9" ht="24" hidden="1" customHeight="1" thickTop="1" thickBot="1" x14ac:dyDescent="0.35">
      <c r="A204" s="46">
        <v>201</v>
      </c>
      <c r="B204" s="148"/>
      <c r="C204" s="58"/>
      <c r="D204" s="58"/>
      <c r="E204" s="59"/>
      <c r="F204" s="58">
        <f>Inventory_List_Table58[[#This Row],[الكمية]]-Inventory_List_Table58[[#This Row],[الصادر]]</f>
        <v>0</v>
      </c>
      <c r="G204" s="58"/>
      <c r="H204" s="62" t="e">
        <f>[1]!الجدول2[[#This Row],[التكلفة]]*[1]!الجدول2[[#This Row],[سحب أيوب ]]</f>
        <v>#REF!</v>
      </c>
      <c r="I204" s="37"/>
    </row>
    <row r="205" spans="1:9" ht="24" hidden="1" customHeight="1" thickTop="1" thickBot="1" x14ac:dyDescent="0.35">
      <c r="A205" s="46">
        <v>202</v>
      </c>
      <c r="B205" s="148"/>
      <c r="C205" s="58"/>
      <c r="D205" s="58"/>
      <c r="E205" s="59"/>
      <c r="F205" s="58">
        <f>Inventory_List_Table58[[#This Row],[الكمية]]-Inventory_List_Table58[[#This Row],[الصادر]]</f>
        <v>0</v>
      </c>
      <c r="G205" s="60"/>
      <c r="H205" s="61" t="e">
        <f>[1]!الجدول2[[#This Row],[التكلفة]]*[1]!الجدول2[[#This Row],[سحب أيوب ]]</f>
        <v>#REF!</v>
      </c>
      <c r="I205" s="37"/>
    </row>
    <row r="206" spans="1:9" ht="24" hidden="1" customHeight="1" thickTop="1" thickBot="1" x14ac:dyDescent="0.35">
      <c r="A206" s="46">
        <v>203</v>
      </c>
      <c r="B206" s="148"/>
      <c r="C206" s="58"/>
      <c r="D206" s="58"/>
      <c r="E206" s="59"/>
      <c r="F206" s="58">
        <f>Inventory_List_Table58[[#This Row],[الكمية]]-Inventory_List_Table58[[#This Row],[الصادر]]</f>
        <v>0</v>
      </c>
      <c r="G206" s="60"/>
      <c r="H206" s="61" t="e">
        <f>[1]!الجدول2[[#This Row],[التكلفة]]*[1]!الجدول2[[#This Row],[سحب أيوب ]]</f>
        <v>#REF!</v>
      </c>
      <c r="I206" s="37"/>
    </row>
    <row r="207" spans="1:9" ht="24" hidden="1" customHeight="1" thickTop="1" thickBot="1" x14ac:dyDescent="0.35">
      <c r="A207" s="46">
        <v>204</v>
      </c>
      <c r="B207" s="148"/>
      <c r="C207" s="58"/>
      <c r="D207" s="59"/>
      <c r="E207" s="59"/>
      <c r="F207" s="58">
        <f>Inventory_List_Table58[[#This Row],[الكمية]]-Inventory_List_Table58[[#This Row],[الصادر]]</f>
        <v>0</v>
      </c>
      <c r="G207" s="58"/>
      <c r="H207" s="62" t="e">
        <f>[1]!الجدول2[[#This Row],[التكلفة]]*[1]!الجدول2[[#This Row],[سحب أيوب ]]</f>
        <v>#REF!</v>
      </c>
      <c r="I207" s="37"/>
    </row>
    <row r="208" spans="1:9" ht="24" hidden="1" customHeight="1" thickTop="1" thickBot="1" x14ac:dyDescent="0.35">
      <c r="A208" s="46">
        <v>205</v>
      </c>
      <c r="B208" s="148"/>
      <c r="C208" s="58"/>
      <c r="D208" s="59"/>
      <c r="E208" s="59"/>
      <c r="F208" s="58">
        <f>Inventory_List_Table58[[#This Row],[الكمية]]-Inventory_List_Table58[[#This Row],[الصادر]]</f>
        <v>0</v>
      </c>
      <c r="G208" s="58"/>
      <c r="H208" s="62" t="e">
        <f>[1]!الجدول2[[#This Row],[التكلفة]]*[1]!الجدول2[[#This Row],[سحب أيوب ]]</f>
        <v>#REF!</v>
      </c>
      <c r="I208" s="37"/>
    </row>
    <row r="209" spans="1:9" ht="24" hidden="1" customHeight="1" thickTop="1" thickBot="1" x14ac:dyDescent="0.35">
      <c r="A209" s="46">
        <v>206</v>
      </c>
      <c r="B209" s="156"/>
      <c r="C209" s="58"/>
      <c r="D209" s="59"/>
      <c r="E209" s="59"/>
      <c r="F209" s="58">
        <f>Inventory_List_Table58[[#This Row],[الكمية]]-Inventory_List_Table58[[#This Row],[الصادر]]</f>
        <v>0</v>
      </c>
      <c r="G209" s="60"/>
      <c r="H209" s="61" t="e">
        <f>[1]!الجدول2[[#This Row],[التكلفة]]*[1]!الجدول2[[#This Row],[سحب أيوب ]]</f>
        <v>#REF!</v>
      </c>
      <c r="I209" s="37"/>
    </row>
    <row r="210" spans="1:9" ht="24" hidden="1" customHeight="1" thickTop="1" thickBot="1" x14ac:dyDescent="0.35">
      <c r="A210" s="46">
        <v>207</v>
      </c>
      <c r="B210" s="148"/>
      <c r="C210" s="58"/>
      <c r="D210" s="59"/>
      <c r="E210" s="59"/>
      <c r="F210" s="58">
        <f>Inventory_List_Table58[[#This Row],[الكمية]]-Inventory_List_Table58[[#This Row],[الصادر]]</f>
        <v>0</v>
      </c>
      <c r="G210" s="58"/>
      <c r="H210" s="62" t="e">
        <f>[1]!الجدول2[[#This Row],[التكلفة]]*[1]!الجدول2[[#This Row],[سحب أيوب ]]</f>
        <v>#REF!</v>
      </c>
      <c r="I210" s="37"/>
    </row>
    <row r="211" spans="1:9" ht="24" hidden="1" customHeight="1" thickTop="1" thickBot="1" x14ac:dyDescent="0.35">
      <c r="A211" s="46">
        <v>208</v>
      </c>
      <c r="B211" s="148"/>
      <c r="C211" s="58"/>
      <c r="D211" s="59"/>
      <c r="E211" s="59"/>
      <c r="F211" s="58">
        <f>Inventory_List_Table58[[#This Row],[الكمية]]-Inventory_List_Table58[[#This Row],[الصادر]]</f>
        <v>0</v>
      </c>
      <c r="G211" s="60"/>
      <c r="H211" s="61" t="e">
        <f>[1]!الجدول2[[#This Row],[التكلفة]]*[1]!الجدول2[[#This Row],[سحب أيوب ]]</f>
        <v>#REF!</v>
      </c>
      <c r="I211" s="37"/>
    </row>
    <row r="212" spans="1:9" ht="24" hidden="1" customHeight="1" thickTop="1" thickBot="1" x14ac:dyDescent="0.35">
      <c r="A212" s="46">
        <v>209</v>
      </c>
      <c r="B212" s="148"/>
      <c r="C212" s="58"/>
      <c r="D212" s="59"/>
      <c r="E212" s="59"/>
      <c r="F212" s="58">
        <f>Inventory_List_Table58[[#This Row],[الكمية]]-Inventory_List_Table58[[#This Row],[الصادر]]</f>
        <v>0</v>
      </c>
      <c r="G212" s="58"/>
      <c r="H212" s="62" t="e">
        <f>[1]!الجدول2[[#This Row],[التكلفة]]*[1]!الجدول2[[#This Row],[سحب أيوب ]]</f>
        <v>#REF!</v>
      </c>
      <c r="I212" s="37"/>
    </row>
    <row r="213" spans="1:9" ht="24" hidden="1" customHeight="1" thickTop="1" thickBot="1" x14ac:dyDescent="0.35">
      <c r="A213" s="46">
        <v>210</v>
      </c>
      <c r="B213" s="148"/>
      <c r="C213" s="58"/>
      <c r="D213" s="59"/>
      <c r="E213" s="59"/>
      <c r="F213" s="58">
        <f>Inventory_List_Table58[[#This Row],[الكمية]]-Inventory_List_Table58[[#This Row],[الصادر]]</f>
        <v>0</v>
      </c>
      <c r="G213" s="58"/>
      <c r="H213" s="62" t="e">
        <f>[1]!الجدول2[[#This Row],[التكلفة]]*[1]!الجدول2[[#This Row],[سحب أيوب ]]</f>
        <v>#REF!</v>
      </c>
      <c r="I213" s="37"/>
    </row>
    <row r="214" spans="1:9" ht="24" hidden="1" customHeight="1" thickTop="1" thickBot="1" x14ac:dyDescent="0.35">
      <c r="A214" s="46">
        <v>211</v>
      </c>
      <c r="B214" s="156"/>
      <c r="C214" s="58"/>
      <c r="D214" s="59"/>
      <c r="E214" s="59"/>
      <c r="F214" s="58">
        <f>Inventory_List_Table58[[#This Row],[الكمية]]-Inventory_List_Table58[[#This Row],[الصادر]]</f>
        <v>0</v>
      </c>
      <c r="G214" s="58"/>
      <c r="H214" s="62" t="e">
        <f>[1]!الجدول2[[#This Row],[التكلفة]]*[1]!الجدول2[[#This Row],[سحب أيوب ]]</f>
        <v>#REF!</v>
      </c>
      <c r="I214" s="37"/>
    </row>
    <row r="215" spans="1:9" ht="24" hidden="1" customHeight="1" thickTop="1" thickBot="1" x14ac:dyDescent="0.35">
      <c r="A215" s="46">
        <v>212</v>
      </c>
      <c r="B215" s="148"/>
      <c r="C215" s="58"/>
      <c r="D215" s="59"/>
      <c r="E215" s="59"/>
      <c r="F215" s="58">
        <f>Inventory_List_Table58[[#This Row],[الكمية]]-Inventory_List_Table58[[#This Row],[الصادر]]</f>
        <v>0</v>
      </c>
      <c r="G215" s="60"/>
      <c r="H215" s="61" t="e">
        <f>[1]!الجدول2[[#This Row],[التكلفة]]*[1]!الجدول2[[#This Row],[سحب أيوب ]]</f>
        <v>#REF!</v>
      </c>
      <c r="I215" s="37"/>
    </row>
    <row r="216" spans="1:9" ht="24" hidden="1" customHeight="1" thickTop="1" thickBot="1" x14ac:dyDescent="0.35">
      <c r="A216" s="46">
        <v>213</v>
      </c>
      <c r="B216" s="148"/>
      <c r="C216" s="58"/>
      <c r="D216" s="59"/>
      <c r="E216" s="59"/>
      <c r="F216" s="58">
        <f>Inventory_List_Table58[[#This Row],[الكمية]]-Inventory_List_Table58[[#This Row],[الصادر]]</f>
        <v>0</v>
      </c>
      <c r="G216" s="58"/>
      <c r="H216" s="62" t="e">
        <f>[1]!الجدول2[[#This Row],[التكلفة]]*[1]!الجدول2[[#This Row],[سحب أيوب ]]</f>
        <v>#REF!</v>
      </c>
      <c r="I216" s="37"/>
    </row>
    <row r="217" spans="1:9" ht="24" hidden="1" customHeight="1" thickTop="1" thickBot="1" x14ac:dyDescent="0.35">
      <c r="A217" s="46">
        <v>214</v>
      </c>
      <c r="B217" s="148"/>
      <c r="C217" s="58"/>
      <c r="D217" s="59"/>
      <c r="E217" s="59"/>
      <c r="F217" s="58">
        <f>Inventory_List_Table58[[#This Row],[الكمية]]-Inventory_List_Table58[[#This Row],[الصادر]]</f>
        <v>0</v>
      </c>
      <c r="G217" s="60"/>
      <c r="H217" s="61" t="e">
        <f>[1]!الجدول2[[#This Row],[التكلفة]]*[1]!الجدول2[[#This Row],[سحب أيوب ]]</f>
        <v>#REF!</v>
      </c>
      <c r="I217" s="37"/>
    </row>
    <row r="218" spans="1:9" ht="24" hidden="1" customHeight="1" thickTop="1" thickBot="1" x14ac:dyDescent="0.35">
      <c r="A218" s="46">
        <v>215</v>
      </c>
      <c r="B218" s="148"/>
      <c r="C218" s="58"/>
      <c r="D218" s="59"/>
      <c r="E218" s="59"/>
      <c r="F218" s="58">
        <f>Inventory_List_Table58[[#This Row],[الكمية]]-Inventory_List_Table58[[#This Row],[الصادر]]</f>
        <v>0</v>
      </c>
      <c r="G218" s="60"/>
      <c r="H218" s="61" t="e">
        <f>[1]!الجدول2[[#This Row],[التكلفة]]*[1]!الجدول2[[#This Row],[سحب أيوب ]]</f>
        <v>#REF!</v>
      </c>
      <c r="I218" s="37"/>
    </row>
    <row r="219" spans="1:9" ht="24" hidden="1" customHeight="1" thickTop="1" thickBot="1" x14ac:dyDescent="0.35">
      <c r="A219" s="46">
        <v>216</v>
      </c>
      <c r="B219" s="148"/>
      <c r="C219" s="58"/>
      <c r="D219" s="59"/>
      <c r="E219" s="59"/>
      <c r="F219" s="58">
        <f>Inventory_List_Table58[[#This Row],[الكمية]]-Inventory_List_Table58[[#This Row],[الصادر]]</f>
        <v>0</v>
      </c>
      <c r="G219" s="58"/>
      <c r="H219" s="62" t="e">
        <f>[1]!الجدول2[[#This Row],[التكلفة]]*[1]!الجدول2[[#This Row],[سحب أيوب ]]</f>
        <v>#REF!</v>
      </c>
      <c r="I219" s="37"/>
    </row>
    <row r="220" spans="1:9" ht="24" hidden="1" customHeight="1" thickTop="1" thickBot="1" x14ac:dyDescent="0.35">
      <c r="A220" s="46">
        <v>217</v>
      </c>
      <c r="B220" s="148"/>
      <c r="C220" s="58"/>
      <c r="D220" s="59"/>
      <c r="E220" s="59"/>
      <c r="F220" s="58">
        <f>Inventory_List_Table58[[#This Row],[الكمية]]-Inventory_List_Table58[[#This Row],[الصادر]]</f>
        <v>0</v>
      </c>
      <c r="G220" s="60"/>
      <c r="H220" s="61" t="e">
        <f>[1]!الجدول2[[#This Row],[التكلفة]]*[1]!الجدول2[[#This Row],[سحب أيوب ]]</f>
        <v>#REF!</v>
      </c>
      <c r="I220" s="37"/>
    </row>
    <row r="221" spans="1:9" ht="24" hidden="1" customHeight="1" thickTop="1" thickBot="1" x14ac:dyDescent="0.35">
      <c r="A221" s="46">
        <v>218</v>
      </c>
      <c r="B221" s="148"/>
      <c r="C221" s="58"/>
      <c r="D221" s="59"/>
      <c r="E221" s="59"/>
      <c r="F221" s="58">
        <f>Inventory_List_Table58[[#This Row],[الكمية]]-Inventory_List_Table58[[#This Row],[الصادر]]</f>
        <v>0</v>
      </c>
      <c r="G221" s="58"/>
      <c r="H221" s="62" t="e">
        <f>[1]!الجدول2[[#This Row],[التكلفة]]*[1]!الجدول2[[#This Row],[سحب أيوب ]]</f>
        <v>#REF!</v>
      </c>
      <c r="I221" s="37"/>
    </row>
    <row r="222" spans="1:9" ht="24" hidden="1" customHeight="1" thickTop="1" thickBot="1" x14ac:dyDescent="0.35">
      <c r="A222" s="46">
        <v>219</v>
      </c>
      <c r="B222" s="148"/>
      <c r="C222" s="58"/>
      <c r="D222" s="59"/>
      <c r="E222" s="59"/>
      <c r="F222" s="58">
        <f>Inventory_List_Table58[[#This Row],[الكمية]]-Inventory_List_Table58[[#This Row],[الصادر]]</f>
        <v>0</v>
      </c>
      <c r="G222" s="60"/>
      <c r="H222" s="61" t="e">
        <f>[1]!الجدول2[[#This Row],[التكلفة]]*[1]!الجدول2[[#This Row],[سحب أيوب ]]</f>
        <v>#REF!</v>
      </c>
      <c r="I222" s="37"/>
    </row>
    <row r="223" spans="1:9" ht="24" hidden="1" customHeight="1" thickTop="1" thickBot="1" x14ac:dyDescent="0.35">
      <c r="A223" s="46">
        <v>220</v>
      </c>
      <c r="B223" s="148"/>
      <c r="C223" s="58"/>
      <c r="D223" s="59"/>
      <c r="E223" s="59"/>
      <c r="F223" s="58">
        <f>Inventory_List_Table58[[#This Row],[الكمية]]-Inventory_List_Table58[[#This Row],[الصادر]]</f>
        <v>0</v>
      </c>
      <c r="G223" s="60"/>
      <c r="H223" s="61" t="e">
        <f>[1]!الجدول2[[#This Row],[التكلفة]]*[1]!الجدول2[[#This Row],[سحب أيوب ]]</f>
        <v>#REF!</v>
      </c>
      <c r="I223" s="37"/>
    </row>
    <row r="224" spans="1:9" ht="24" hidden="1" customHeight="1" thickTop="1" thickBot="1" x14ac:dyDescent="0.35">
      <c r="A224" s="46">
        <v>221</v>
      </c>
      <c r="B224" s="148"/>
      <c r="C224" s="58"/>
      <c r="D224" s="59"/>
      <c r="E224" s="59"/>
      <c r="F224" s="58">
        <f>Inventory_List_Table58[[#This Row],[الكمية]]-Inventory_List_Table58[[#This Row],[الصادر]]</f>
        <v>0</v>
      </c>
      <c r="G224" s="58"/>
      <c r="H224" s="62" t="e">
        <f>[1]!الجدول2[[#This Row],[التكلفة]]*[1]!الجدول2[[#This Row],[سحب أيوب ]]</f>
        <v>#REF!</v>
      </c>
      <c r="I224" s="37"/>
    </row>
    <row r="225" spans="1:9" ht="24" hidden="1" customHeight="1" thickTop="1" thickBot="1" x14ac:dyDescent="0.35">
      <c r="A225" s="46">
        <v>222</v>
      </c>
      <c r="B225" s="148"/>
      <c r="C225" s="58"/>
      <c r="D225" s="59"/>
      <c r="E225" s="59"/>
      <c r="F225" s="58">
        <f>Inventory_List_Table58[[#This Row],[الكمية]]-Inventory_List_Table58[[#This Row],[الصادر]]</f>
        <v>0</v>
      </c>
      <c r="G225" s="60"/>
      <c r="H225" s="61" t="e">
        <f>[1]!الجدول2[[#This Row],[التكلفة]]*[1]!الجدول2[[#This Row],[سحب أيوب ]]</f>
        <v>#REF!</v>
      </c>
      <c r="I225" s="37"/>
    </row>
    <row r="226" spans="1:9" ht="24" hidden="1" customHeight="1" thickTop="1" thickBot="1" x14ac:dyDescent="0.35">
      <c r="A226" s="46">
        <v>223</v>
      </c>
      <c r="B226" s="148"/>
      <c r="C226" s="58"/>
      <c r="D226" s="59"/>
      <c r="E226" s="59"/>
      <c r="F226" s="58">
        <f>Inventory_List_Table58[[#This Row],[الكمية]]-Inventory_List_Table58[[#This Row],[الصادر]]</f>
        <v>0</v>
      </c>
      <c r="G226" s="58"/>
      <c r="H226" s="62" t="e">
        <f>[1]!الجدول2[[#This Row],[التكلفة]]*[1]!الجدول2[[#This Row],[سحب أيوب ]]</f>
        <v>#REF!</v>
      </c>
      <c r="I226" s="37"/>
    </row>
    <row r="227" spans="1:9" ht="24" hidden="1" customHeight="1" thickTop="1" thickBot="1" x14ac:dyDescent="0.35">
      <c r="A227" s="46">
        <v>224</v>
      </c>
      <c r="B227" s="148"/>
      <c r="C227" s="58"/>
      <c r="D227" s="59"/>
      <c r="E227" s="59"/>
      <c r="F227" s="58">
        <f>Inventory_List_Table58[[#This Row],[الكمية]]-Inventory_List_Table58[[#This Row],[الصادر]]</f>
        <v>0</v>
      </c>
      <c r="G227" s="60"/>
      <c r="H227" s="61" t="e">
        <f>[1]!الجدول2[[#This Row],[التكلفة]]*[1]!الجدول2[[#This Row],[سحب أيوب ]]</f>
        <v>#REF!</v>
      </c>
      <c r="I227" s="37"/>
    </row>
    <row r="228" spans="1:9" ht="24" hidden="1" customHeight="1" thickTop="1" thickBot="1" x14ac:dyDescent="0.35">
      <c r="A228" s="46">
        <v>225</v>
      </c>
      <c r="B228" s="148"/>
      <c r="C228" s="58"/>
      <c r="D228" s="59"/>
      <c r="E228" s="59"/>
      <c r="F228" s="58">
        <f>Inventory_List_Table58[[#This Row],[الكمية]]-Inventory_List_Table58[[#This Row],[الصادر]]</f>
        <v>0</v>
      </c>
      <c r="G228" s="58"/>
      <c r="H228" s="62" t="e">
        <f>[1]!الجدول2[[#This Row],[التكلفة]]*[1]!الجدول2[[#This Row],[سحب أيوب ]]</f>
        <v>#REF!</v>
      </c>
      <c r="I228" s="37"/>
    </row>
    <row r="229" spans="1:9" ht="24" hidden="1" customHeight="1" thickTop="1" thickBot="1" x14ac:dyDescent="0.35">
      <c r="A229" s="46">
        <v>226</v>
      </c>
      <c r="B229" s="148"/>
      <c r="C229" s="58"/>
      <c r="D229" s="59"/>
      <c r="E229" s="59"/>
      <c r="F229" s="58">
        <f>Inventory_List_Table58[[#This Row],[الكمية]]-Inventory_List_Table58[[#This Row],[الصادر]]</f>
        <v>0</v>
      </c>
      <c r="G229" s="60"/>
      <c r="H229" s="61" t="e">
        <f>[1]!الجدول2[[#This Row],[التكلفة]]*[1]!الجدول2[[#This Row],[سحب أيوب ]]</f>
        <v>#REF!</v>
      </c>
      <c r="I229" s="37"/>
    </row>
    <row r="230" spans="1:9" ht="24" hidden="1" customHeight="1" thickTop="1" thickBot="1" x14ac:dyDescent="0.35">
      <c r="A230" s="46">
        <v>227</v>
      </c>
      <c r="B230" s="148"/>
      <c r="C230" s="58"/>
      <c r="D230" s="59"/>
      <c r="E230" s="59"/>
      <c r="F230" s="58">
        <f>Inventory_List_Table58[[#This Row],[الكمية]]-Inventory_List_Table58[[#This Row],[الصادر]]</f>
        <v>0</v>
      </c>
      <c r="G230" s="58"/>
      <c r="H230" s="62" t="e">
        <f>[1]!الجدول2[[#This Row],[التكلفة]]*[1]!الجدول2[[#This Row],[سحب أيوب ]]</f>
        <v>#REF!</v>
      </c>
      <c r="I230" s="37"/>
    </row>
    <row r="231" spans="1:9" ht="24" hidden="1" customHeight="1" thickTop="1" thickBot="1" x14ac:dyDescent="0.35">
      <c r="A231" s="46">
        <v>228</v>
      </c>
      <c r="B231" s="156"/>
      <c r="C231" s="58"/>
      <c r="D231" s="59"/>
      <c r="E231" s="59"/>
      <c r="F231" s="58">
        <f>Inventory_List_Table58[[#This Row],[الكمية]]-Inventory_List_Table58[[#This Row],[الصادر]]</f>
        <v>0</v>
      </c>
      <c r="G231" s="60"/>
      <c r="H231" s="61" t="e">
        <f>[1]!الجدول2[[#This Row],[التكلفة]]*[1]!الجدول2[[#This Row],[سحب أيوب ]]</f>
        <v>#REF!</v>
      </c>
      <c r="I231" s="37"/>
    </row>
    <row r="232" spans="1:9" ht="24" hidden="1" customHeight="1" thickTop="1" thickBot="1" x14ac:dyDescent="0.35">
      <c r="A232" s="46">
        <v>229</v>
      </c>
      <c r="B232" s="156"/>
      <c r="C232" s="58"/>
      <c r="D232" s="59"/>
      <c r="E232" s="59"/>
      <c r="F232" s="58">
        <f>Inventory_List_Table58[[#This Row],[الكمية]]-Inventory_List_Table58[[#This Row],[الصادر]]</f>
        <v>0</v>
      </c>
      <c r="G232" s="58"/>
      <c r="H232" s="62" t="e">
        <f>[1]!الجدول2[[#This Row],[التكلفة]]*[1]!الجدول2[[#This Row],[سحب أيوب ]]</f>
        <v>#REF!</v>
      </c>
      <c r="I232" s="37"/>
    </row>
    <row r="233" spans="1:9" ht="24" hidden="1" customHeight="1" thickTop="1" thickBot="1" x14ac:dyDescent="0.35">
      <c r="A233" s="46">
        <v>230</v>
      </c>
      <c r="B233" s="156"/>
      <c r="C233" s="58"/>
      <c r="D233" s="59"/>
      <c r="E233" s="59"/>
      <c r="F233" s="58">
        <f>Inventory_List_Table58[[#This Row],[الكمية]]-Inventory_List_Table58[[#This Row],[الصادر]]</f>
        <v>0</v>
      </c>
      <c r="G233" s="60"/>
      <c r="H233" s="61" t="e">
        <f>[1]!الجدول2[[#This Row],[التكلفة]]*[1]!الجدول2[[#This Row],[سحب أيوب ]]</f>
        <v>#REF!</v>
      </c>
      <c r="I233" s="37"/>
    </row>
    <row r="234" spans="1:9" ht="24" hidden="1" customHeight="1" thickTop="1" thickBot="1" x14ac:dyDescent="0.35">
      <c r="A234" s="46">
        <v>231</v>
      </c>
      <c r="B234" s="156"/>
      <c r="C234" s="58"/>
      <c r="D234" s="59"/>
      <c r="E234" s="59"/>
      <c r="F234" s="58">
        <f>Inventory_List_Table58[[#This Row],[الكمية]]-Inventory_List_Table58[[#This Row],[الصادر]]</f>
        <v>0</v>
      </c>
      <c r="G234" s="58"/>
      <c r="H234" s="62" t="e">
        <f>[1]!الجدول2[[#This Row],[التكلفة]]*[1]!الجدول2[[#This Row],[سحب أيوب ]]</f>
        <v>#REF!</v>
      </c>
      <c r="I234" s="37"/>
    </row>
    <row r="235" spans="1:9" ht="24" hidden="1" customHeight="1" thickTop="1" thickBot="1" x14ac:dyDescent="0.35">
      <c r="A235" s="46">
        <v>232</v>
      </c>
      <c r="B235" s="148"/>
      <c r="C235" s="58"/>
      <c r="D235" s="59"/>
      <c r="E235" s="59"/>
      <c r="F235" s="58">
        <f>Inventory_List_Table58[[#This Row],[الكمية]]-Inventory_List_Table58[[#This Row],[الصادر]]</f>
        <v>0</v>
      </c>
      <c r="G235" s="60"/>
      <c r="H235" s="61" t="e">
        <f>[1]!الجدول2[[#This Row],[التكلفة]]*[1]!الجدول2[[#This Row],[سحب أيوب ]]</f>
        <v>#REF!</v>
      </c>
      <c r="I235" s="37"/>
    </row>
    <row r="236" spans="1:9" ht="24" hidden="1" customHeight="1" thickTop="1" thickBot="1" x14ac:dyDescent="0.35">
      <c r="A236" s="46">
        <v>233</v>
      </c>
      <c r="B236" s="148"/>
      <c r="C236" s="58"/>
      <c r="D236" s="59"/>
      <c r="E236" s="59"/>
      <c r="F236" s="58">
        <f>Inventory_List_Table58[[#This Row],[الكمية]]-Inventory_List_Table58[[#This Row],[الصادر]]</f>
        <v>0</v>
      </c>
      <c r="G236" s="60"/>
      <c r="H236" s="61" t="e">
        <f>[1]!الجدول2[[#This Row],[التكلفة]]*[1]!الجدول2[[#This Row],[سحب أيوب ]]</f>
        <v>#REF!</v>
      </c>
      <c r="I236" s="37"/>
    </row>
    <row r="237" spans="1:9" ht="24" hidden="1" customHeight="1" thickTop="1" thickBot="1" x14ac:dyDescent="0.35">
      <c r="A237" s="46">
        <v>234</v>
      </c>
      <c r="B237" s="148"/>
      <c r="C237" s="58"/>
      <c r="D237" s="59"/>
      <c r="E237" s="59"/>
      <c r="F237" s="58">
        <f>Inventory_List_Table58[[#This Row],[الكمية]]-Inventory_List_Table58[[#This Row],[الصادر]]</f>
        <v>0</v>
      </c>
      <c r="G237" s="60"/>
      <c r="H237" s="61" t="e">
        <f>[1]!الجدول2[[#This Row],[التكلفة]]*[1]!الجدول2[[#This Row],[سحب أيوب ]]</f>
        <v>#REF!</v>
      </c>
      <c r="I237" s="37"/>
    </row>
    <row r="238" spans="1:9" ht="24" hidden="1" customHeight="1" thickTop="1" thickBot="1" x14ac:dyDescent="0.35">
      <c r="A238" s="46">
        <v>235</v>
      </c>
      <c r="B238" s="148"/>
      <c r="C238" s="58"/>
      <c r="D238" s="59"/>
      <c r="E238" s="59"/>
      <c r="F238" s="58">
        <f>Inventory_List_Table58[[#This Row],[الكمية]]-Inventory_List_Table58[[#This Row],[الصادر]]</f>
        <v>0</v>
      </c>
      <c r="G238" s="58"/>
      <c r="H238" s="62" t="e">
        <f>[1]!الجدول2[[#This Row],[التكلفة]]*[1]!الجدول2[[#This Row],[سحب أيوب ]]</f>
        <v>#REF!</v>
      </c>
      <c r="I238" s="37"/>
    </row>
    <row r="239" spans="1:9" ht="24" hidden="1" customHeight="1" thickTop="1" thickBot="1" x14ac:dyDescent="0.35">
      <c r="A239" s="46">
        <v>236</v>
      </c>
      <c r="B239" s="148"/>
      <c r="C239" s="58"/>
      <c r="D239" s="59"/>
      <c r="E239" s="59"/>
      <c r="F239" s="58">
        <f>Inventory_List_Table58[[#This Row],[الكمية]]-Inventory_List_Table58[[#This Row],[الصادر]]</f>
        <v>0</v>
      </c>
      <c r="G239" s="58"/>
      <c r="H239" s="62" t="e">
        <f>[1]!الجدول2[[#This Row],[التكلفة]]*[1]!الجدول2[[#This Row],[سحب أيوب ]]</f>
        <v>#REF!</v>
      </c>
      <c r="I239" s="37"/>
    </row>
    <row r="240" spans="1:9" ht="24" hidden="1" customHeight="1" thickTop="1" thickBot="1" x14ac:dyDescent="0.35">
      <c r="A240" s="46">
        <v>237</v>
      </c>
      <c r="B240" s="148"/>
      <c r="C240" s="58"/>
      <c r="D240" s="59"/>
      <c r="E240" s="59"/>
      <c r="F240" s="58">
        <f>Inventory_List_Table58[[#This Row],[الكمية]]-Inventory_List_Table58[[#This Row],[الصادر]]</f>
        <v>0</v>
      </c>
      <c r="G240" s="60"/>
      <c r="H240" s="61" t="e">
        <f>[1]!الجدول2[[#This Row],[التكلفة]]*[1]!الجدول2[[#This Row],[سحب أيوب ]]</f>
        <v>#REF!</v>
      </c>
      <c r="I240" s="37"/>
    </row>
    <row r="241" spans="1:9" ht="24" hidden="1" customHeight="1" thickTop="1" thickBot="1" x14ac:dyDescent="0.35">
      <c r="A241" s="46">
        <v>238</v>
      </c>
      <c r="B241" s="148"/>
      <c r="C241" s="58"/>
      <c r="D241" s="59"/>
      <c r="E241" s="59"/>
      <c r="F241" s="58">
        <f>Inventory_List_Table58[[#This Row],[الكمية]]-Inventory_List_Table58[[#This Row],[الصادر]]</f>
        <v>0</v>
      </c>
      <c r="G241" s="58"/>
      <c r="H241" s="62" t="e">
        <f>[1]!الجدول2[[#This Row],[التكلفة]]*[1]!الجدول2[[#This Row],[سحب أيوب ]]</f>
        <v>#REF!</v>
      </c>
      <c r="I241" s="37"/>
    </row>
    <row r="242" spans="1:9" ht="24" hidden="1" customHeight="1" thickTop="1" thickBot="1" x14ac:dyDescent="0.35">
      <c r="A242" s="46">
        <v>239</v>
      </c>
      <c r="B242" s="148"/>
      <c r="C242" s="58"/>
      <c r="D242" s="59"/>
      <c r="E242" s="59"/>
      <c r="F242" s="58">
        <f>Inventory_List_Table58[[#This Row],[الكمية]]-Inventory_List_Table58[[#This Row],[الصادر]]</f>
        <v>0</v>
      </c>
      <c r="G242" s="58"/>
      <c r="H242" s="62" t="e">
        <f>[1]!الجدول2[[#This Row],[التكلفة]]*[1]!الجدول2[[#This Row],[سحب أيوب ]]</f>
        <v>#REF!</v>
      </c>
      <c r="I242" s="37"/>
    </row>
    <row r="243" spans="1:9" ht="24" hidden="1" customHeight="1" thickTop="1" thickBot="1" x14ac:dyDescent="0.35">
      <c r="A243" s="46">
        <v>240</v>
      </c>
      <c r="B243" s="156"/>
      <c r="C243" s="58"/>
      <c r="D243" s="59"/>
      <c r="E243" s="59"/>
      <c r="F243" s="58">
        <f>Inventory_List_Table58[[#This Row],[الكمية]]-Inventory_List_Table58[[#This Row],[الصادر]]</f>
        <v>0</v>
      </c>
      <c r="G243" s="60"/>
      <c r="H243" s="61" t="e">
        <f>[1]!الجدول2[[#This Row],[التكلفة]]*[1]!الجدول2[[#This Row],[سحب أيوب ]]</f>
        <v>#REF!</v>
      </c>
      <c r="I243" s="37"/>
    </row>
    <row r="244" spans="1:9" ht="24" hidden="1" customHeight="1" thickTop="1" thickBot="1" x14ac:dyDescent="0.35">
      <c r="A244" s="46">
        <v>241</v>
      </c>
      <c r="B244" s="156"/>
      <c r="C244" s="58"/>
      <c r="D244" s="59"/>
      <c r="E244" s="59"/>
      <c r="F244" s="58">
        <f>Inventory_List_Table58[[#This Row],[الكمية]]-Inventory_List_Table58[[#This Row],[الصادر]]</f>
        <v>0</v>
      </c>
      <c r="G244" s="60"/>
      <c r="H244" s="61" t="e">
        <f>[1]!الجدول2[[#This Row],[التكلفة]]*[1]!الجدول2[[#This Row],[سحب أيوب ]]</f>
        <v>#REF!</v>
      </c>
      <c r="I244" s="37"/>
    </row>
    <row r="245" spans="1:9" ht="24" hidden="1" customHeight="1" thickTop="1" thickBot="1" x14ac:dyDescent="0.35">
      <c r="A245" s="46">
        <v>242</v>
      </c>
      <c r="B245" s="148"/>
      <c r="C245" s="58"/>
      <c r="D245" s="59"/>
      <c r="E245" s="59"/>
      <c r="F245" s="58">
        <f>Inventory_List_Table58[[#This Row],[الكمية]]-Inventory_List_Table58[[#This Row],[الصادر]]</f>
        <v>0</v>
      </c>
      <c r="G245" s="60"/>
      <c r="H245" s="61" t="e">
        <f>[1]!الجدول2[[#This Row],[التكلفة]]*[1]!الجدول2[[#This Row],[سحب أيوب ]]</f>
        <v>#REF!</v>
      </c>
      <c r="I245" s="37"/>
    </row>
    <row r="246" spans="1:9" ht="24" hidden="1" customHeight="1" thickTop="1" thickBot="1" x14ac:dyDescent="0.35">
      <c r="A246" s="46">
        <v>243</v>
      </c>
      <c r="B246" s="148"/>
      <c r="C246" s="58"/>
      <c r="D246" s="59"/>
      <c r="E246" s="59"/>
      <c r="F246" s="58">
        <f>Inventory_List_Table58[[#This Row],[الكمية]]-Inventory_List_Table58[[#This Row],[الصادر]]</f>
        <v>0</v>
      </c>
      <c r="G246" s="60"/>
      <c r="H246" s="61" t="e">
        <f>[1]!الجدول2[[#This Row],[التكلفة]]*[1]!الجدول2[[#This Row],[سحب أيوب ]]</f>
        <v>#REF!</v>
      </c>
      <c r="I246" s="37"/>
    </row>
    <row r="247" spans="1:9" ht="24" hidden="1" customHeight="1" thickTop="1" thickBot="1" x14ac:dyDescent="0.35">
      <c r="A247" s="46">
        <v>244</v>
      </c>
      <c r="B247" s="148"/>
      <c r="C247" s="58"/>
      <c r="D247" s="59"/>
      <c r="E247" s="59"/>
      <c r="F247" s="58">
        <f>Inventory_List_Table58[[#This Row],[الكمية]]-Inventory_List_Table58[[#This Row],[الصادر]]</f>
        <v>0</v>
      </c>
      <c r="G247" s="58"/>
      <c r="H247" s="62" t="e">
        <f>[1]!الجدول2[[#This Row],[التكلفة]]*[1]!الجدول2[[#This Row],[سحب أيوب ]]</f>
        <v>#REF!</v>
      </c>
      <c r="I247" s="37"/>
    </row>
    <row r="248" spans="1:9" ht="24" hidden="1" customHeight="1" thickTop="1" thickBot="1" x14ac:dyDescent="0.35">
      <c r="A248" s="46">
        <v>245</v>
      </c>
      <c r="B248" s="148"/>
      <c r="C248" s="58"/>
      <c r="D248" s="59"/>
      <c r="E248" s="59"/>
      <c r="F248" s="58">
        <f>Inventory_List_Table58[[#This Row],[الكمية]]-Inventory_List_Table58[[#This Row],[الصادر]]</f>
        <v>0</v>
      </c>
      <c r="G248" s="58"/>
      <c r="H248" s="62" t="e">
        <f>[1]!الجدول2[[#This Row],[التكلفة]]*[1]!الجدول2[[#This Row],[سحب أيوب ]]</f>
        <v>#REF!</v>
      </c>
      <c r="I248" s="37"/>
    </row>
    <row r="249" spans="1:9" ht="24" hidden="1" customHeight="1" thickTop="1" thickBot="1" x14ac:dyDescent="0.35">
      <c r="A249" s="46">
        <v>246</v>
      </c>
      <c r="B249" s="163"/>
      <c r="C249" s="58"/>
      <c r="D249" s="59"/>
      <c r="E249" s="59"/>
      <c r="F249" s="58">
        <f>Inventory_List_Table58[[#This Row],[الكمية]]-Inventory_List_Table58[[#This Row],[الصادر]]</f>
        <v>0</v>
      </c>
      <c r="G249" s="60"/>
      <c r="H249" s="61" t="e">
        <f>[1]!الجدول2[[#This Row],[التكلفة]]*[1]!الجدول2[[#This Row],[سحب أيوب ]]</f>
        <v>#REF!</v>
      </c>
      <c r="I249" s="37"/>
    </row>
    <row r="250" spans="1:9" ht="24" hidden="1" customHeight="1" thickTop="1" thickBot="1" x14ac:dyDescent="0.35">
      <c r="A250" s="46">
        <v>247</v>
      </c>
      <c r="B250" s="161"/>
      <c r="C250" s="58"/>
      <c r="D250" s="59"/>
      <c r="E250" s="59"/>
      <c r="F250" s="58">
        <f>Inventory_List_Table58[[#This Row],[الكمية]]-Inventory_List_Table58[[#This Row],[الصادر]]</f>
        <v>0</v>
      </c>
      <c r="G250" s="58"/>
      <c r="H250" s="62" t="e">
        <f>[1]!الجدول2[[#This Row],[التكلفة]]*[1]!الجدول2[[#This Row],[سحب أيوب ]]</f>
        <v>#REF!</v>
      </c>
      <c r="I250" s="37"/>
    </row>
    <row r="251" spans="1:9" ht="24" hidden="1" customHeight="1" thickTop="1" thickBot="1" x14ac:dyDescent="0.35">
      <c r="A251" s="46">
        <v>248</v>
      </c>
      <c r="B251" s="161"/>
      <c r="C251" s="58"/>
      <c r="D251" s="59"/>
      <c r="E251" s="59"/>
      <c r="F251" s="58">
        <f>Inventory_List_Table58[[#This Row],[الكمية]]-Inventory_List_Table58[[#This Row],[الصادر]]</f>
        <v>0</v>
      </c>
      <c r="G251" s="60"/>
      <c r="H251" s="61" t="e">
        <f>[1]!الجدول2[[#This Row],[التكلفة]]*[1]!الجدول2[[#This Row],[سحب أيوب ]]</f>
        <v>#REF!</v>
      </c>
      <c r="I251" s="37"/>
    </row>
    <row r="252" spans="1:9" ht="24" hidden="1" customHeight="1" thickTop="1" thickBot="1" x14ac:dyDescent="0.35">
      <c r="A252" s="46">
        <v>249</v>
      </c>
      <c r="B252" s="159"/>
      <c r="C252" s="23"/>
      <c r="D252" s="29"/>
      <c r="E252" s="29"/>
      <c r="F252" s="29">
        <f>Inventory_List_Table58[[#This Row],[الكمية]]-Inventory_List_Table58[[#This Row],[الصادر]]</f>
        <v>0</v>
      </c>
      <c r="G252" s="30"/>
      <c r="H252" s="72" t="e">
        <f>[1]!الجدول2[[#This Row],[التكلفة]]*[1]!الجدول2[[#This Row],[سحب أيوب ]]</f>
        <v>#REF!</v>
      </c>
      <c r="I252" s="37"/>
    </row>
    <row r="253" spans="1:9" ht="24" hidden="1" customHeight="1" thickTop="1" thickBot="1" x14ac:dyDescent="0.35">
      <c r="A253" s="46">
        <v>250</v>
      </c>
      <c r="B253" s="159"/>
      <c r="C253" s="23"/>
      <c r="D253" s="24"/>
      <c r="E253" s="24"/>
      <c r="F253" s="24">
        <f>Inventory_List_Table58[[#This Row],[الكمية]]-Inventory_List_Table58[[#This Row],[الصادر]]</f>
        <v>0</v>
      </c>
      <c r="G253" s="25"/>
      <c r="H253" s="25" t="e">
        <f>[1]!الجدول2[[#This Row],[التكلفة]]*[1]!الجدول2[[#This Row],[سحب أيوب ]]</f>
        <v>#REF!</v>
      </c>
      <c r="I253" s="37"/>
    </row>
    <row r="254" spans="1:9" ht="24" hidden="1" customHeight="1" thickTop="1" thickBot="1" x14ac:dyDescent="0.35">
      <c r="A254" s="46">
        <v>251</v>
      </c>
      <c r="B254" s="159"/>
      <c r="C254" s="23"/>
      <c r="D254" s="29"/>
      <c r="E254" s="29"/>
      <c r="F254" s="29">
        <f>Inventory_List_Table58[[#This Row],[الكمية]]-Inventory_List_Table58[[#This Row],[الصادر]]</f>
        <v>0</v>
      </c>
      <c r="G254" s="30"/>
      <c r="H254" s="72" t="e">
        <f>[1]!الجدول2[[#This Row],[التكلفة]]*[1]!الجدول2[[#This Row],[سحب أيوب ]]</f>
        <v>#REF!</v>
      </c>
      <c r="I254" s="37"/>
    </row>
    <row r="255" spans="1:9" ht="24" hidden="1" customHeight="1" thickTop="1" thickBot="1" x14ac:dyDescent="0.35">
      <c r="A255" s="46">
        <v>252</v>
      </c>
      <c r="B255" s="159"/>
      <c r="C255" s="23"/>
      <c r="D255" s="24"/>
      <c r="E255" s="24"/>
      <c r="F255" s="24">
        <f>Inventory_List_Table58[[#This Row],[الكمية]]-Inventory_List_Table58[[#This Row],[الصادر]]</f>
        <v>0</v>
      </c>
      <c r="G255" s="25"/>
      <c r="H255" s="25" t="e">
        <f>[1]!الجدول2[[#This Row],[التكلفة]]*[1]!الجدول2[[#This Row],[سحب أيوب ]]</f>
        <v>#REF!</v>
      </c>
      <c r="I255" s="37"/>
    </row>
    <row r="256" spans="1:9" ht="24" hidden="1" customHeight="1" thickTop="1" thickBot="1" x14ac:dyDescent="0.35">
      <c r="A256" s="46">
        <v>253</v>
      </c>
      <c r="B256" s="159"/>
      <c r="C256" s="23"/>
      <c r="D256" s="24"/>
      <c r="E256" s="24"/>
      <c r="F256" s="24">
        <f>Inventory_List_Table58[[#This Row],[الكمية]]-Inventory_List_Table58[[#This Row],[الصادر]]</f>
        <v>0</v>
      </c>
      <c r="G256" s="25"/>
      <c r="H256" s="25" t="e">
        <f>[1]!الجدول2[[#This Row],[التكلفة]]*[1]!الجدول2[[#This Row],[سحب أيوب ]]</f>
        <v>#REF!</v>
      </c>
      <c r="I256" s="37"/>
    </row>
    <row r="257" spans="1:9" ht="24" hidden="1" customHeight="1" thickTop="1" thickBot="1" x14ac:dyDescent="0.35">
      <c r="A257" s="46">
        <v>254</v>
      </c>
      <c r="B257" s="159"/>
      <c r="C257" s="23"/>
      <c r="D257" s="22"/>
      <c r="E257" s="22"/>
      <c r="F257" s="22">
        <f>Inventory_List_Table58[[#This Row],[الكمية]]-Inventory_List_Table58[[#This Row],[الصادر]]</f>
        <v>0</v>
      </c>
      <c r="G257" s="26"/>
      <c r="H257" s="25" t="e">
        <f>[1]!الجدول2[[#This Row],[التكلفة]]*[1]!الجدول2[[#This Row],[سحب أيوب ]]</f>
        <v>#REF!</v>
      </c>
      <c r="I257" s="37"/>
    </row>
    <row r="258" spans="1:9" ht="24" hidden="1" customHeight="1" thickTop="1" thickBot="1" x14ac:dyDescent="0.35">
      <c r="A258" s="46">
        <v>255</v>
      </c>
      <c r="B258" s="159"/>
      <c r="C258" s="23"/>
      <c r="D258" s="22"/>
      <c r="E258" s="22"/>
      <c r="F258" s="22">
        <f>Inventory_List_Table58[[#This Row],[الكمية]]-Inventory_List_Table58[[#This Row],[الصادر]]</f>
        <v>0</v>
      </c>
      <c r="G258" s="28"/>
      <c r="H258" s="25" t="e">
        <f>[1]!الجدول2[[#This Row],[التكلفة]]*[1]!الجدول2[[#This Row],[سحب أيوب ]]</f>
        <v>#REF!</v>
      </c>
      <c r="I258" s="37"/>
    </row>
    <row r="259" spans="1:9" ht="24" hidden="1" customHeight="1" thickTop="1" thickBot="1" x14ac:dyDescent="0.35">
      <c r="A259" s="46">
        <v>256</v>
      </c>
      <c r="B259" s="159"/>
      <c r="C259" s="23"/>
      <c r="D259" s="22"/>
      <c r="E259" s="22"/>
      <c r="F259" s="22">
        <f>Inventory_List_Table58[[#This Row],[الكمية]]-Inventory_List_Table58[[#This Row],[الصادر]]</f>
        <v>0</v>
      </c>
      <c r="G259" s="28"/>
      <c r="H259" s="25" t="e">
        <f>[1]!الجدول2[[#This Row],[التكلفة]]*[1]!الجدول2[[#This Row],[سحب أيوب ]]</f>
        <v>#REF!</v>
      </c>
      <c r="I259" s="37"/>
    </row>
    <row r="260" spans="1:9" ht="24" hidden="1" customHeight="1" thickTop="1" thickBot="1" x14ac:dyDescent="0.35">
      <c r="A260" s="46">
        <v>257</v>
      </c>
      <c r="B260" s="159"/>
      <c r="C260" s="23"/>
      <c r="D260" s="29"/>
      <c r="E260" s="29"/>
      <c r="F260" s="29">
        <f>Inventory_List_Table58[[#This Row],[الكمية]]-Inventory_List_Table58[[#This Row],[الصادر]]</f>
        <v>0</v>
      </c>
      <c r="G260" s="30"/>
      <c r="H260" s="72" t="e">
        <f>[1]!الجدول2[[#This Row],[التكلفة]]*[1]!الجدول2[[#This Row],[سحب أيوب ]]</f>
        <v>#REF!</v>
      </c>
      <c r="I260" s="37"/>
    </row>
    <row r="261" spans="1:9" ht="24" hidden="1" customHeight="1" thickTop="1" thickBot="1" x14ac:dyDescent="0.35">
      <c r="A261" s="46">
        <v>258</v>
      </c>
      <c r="B261" s="159"/>
      <c r="C261" s="23"/>
      <c r="D261" s="27"/>
      <c r="E261" s="27"/>
      <c r="F261" s="27">
        <f>Inventory_List_Table58[[#This Row],[الكمية]]-Inventory_List_Table58[[#This Row],[الصادر]]</f>
        <v>0</v>
      </c>
      <c r="G261" s="28"/>
      <c r="H261" s="25" t="e">
        <f>[1]!الجدول2[[#This Row],[التكلفة]]*[1]!الجدول2[[#This Row],[سحب أيوب ]]</f>
        <v>#REF!</v>
      </c>
      <c r="I261" s="37"/>
    </row>
    <row r="262" spans="1:9" ht="24" hidden="1" customHeight="1" thickTop="1" thickBot="1" x14ac:dyDescent="0.35">
      <c r="A262" s="46">
        <v>259</v>
      </c>
      <c r="B262" s="159"/>
      <c r="C262" s="23"/>
      <c r="D262" s="22"/>
      <c r="E262" s="22"/>
      <c r="F262" s="22">
        <f>Inventory_List_Table58[[#This Row],[الكمية]]-Inventory_List_Table58[[#This Row],[الصادر]]</f>
        <v>0</v>
      </c>
      <c r="G262" s="28"/>
      <c r="H262" s="25" t="e">
        <f>[1]!الجدول2[[#This Row],[التكلفة]]*[1]!الجدول2[[#This Row],[سحب أيوب ]]</f>
        <v>#REF!</v>
      </c>
      <c r="I262" s="37"/>
    </row>
    <row r="263" spans="1:9" ht="24" hidden="1" customHeight="1" thickTop="1" thickBot="1" x14ac:dyDescent="0.35">
      <c r="A263" s="46">
        <v>260</v>
      </c>
      <c r="B263" s="159"/>
      <c r="C263" s="23"/>
      <c r="D263" s="27"/>
      <c r="E263" s="27"/>
      <c r="F263" s="27">
        <f>Inventory_List_Table58[[#This Row],[الكمية]]-Inventory_List_Table58[[#This Row],[الصادر]]</f>
        <v>0</v>
      </c>
      <c r="G263" s="28"/>
      <c r="H263" s="25" t="e">
        <f>[1]!الجدول2[[#This Row],[التكلفة]]*[1]!الجدول2[[#This Row],[سحب أيوب ]]</f>
        <v>#REF!</v>
      </c>
      <c r="I263" s="37"/>
    </row>
    <row r="264" spans="1:9" ht="24" hidden="1" customHeight="1" thickTop="1" thickBot="1" x14ac:dyDescent="0.35">
      <c r="A264" s="46">
        <v>261</v>
      </c>
      <c r="B264" s="159"/>
      <c r="C264" s="23"/>
      <c r="D264" s="29"/>
      <c r="E264" s="29"/>
      <c r="F264" s="29">
        <f>Inventory_List_Table58[[#This Row],[الكمية]]-Inventory_List_Table58[[#This Row],[الصادر]]</f>
        <v>0</v>
      </c>
      <c r="G264" s="30"/>
      <c r="H264" s="72" t="e">
        <f>[1]!الجدول2[[#This Row],[التكلفة]]*[1]!الجدول2[[#This Row],[سحب أيوب ]]</f>
        <v>#REF!</v>
      </c>
      <c r="I264" s="37"/>
    </row>
    <row r="265" spans="1:9" ht="24" hidden="1" customHeight="1" thickTop="1" thickBot="1" x14ac:dyDescent="0.35">
      <c r="A265" s="46">
        <v>262</v>
      </c>
      <c r="B265" s="159"/>
      <c r="C265" s="23"/>
      <c r="D265" s="24"/>
      <c r="E265" s="24"/>
      <c r="F265" s="24">
        <f>Inventory_List_Table58[[#This Row],[الكمية]]-Inventory_List_Table58[[#This Row],[الصادر]]</f>
        <v>0</v>
      </c>
      <c r="G265" s="28"/>
      <c r="H265" s="25" t="e">
        <f>[1]!الجدول2[[#This Row],[التكلفة]]*[1]!الجدول2[[#This Row],[سحب أيوب ]]</f>
        <v>#REF!</v>
      </c>
      <c r="I265" s="37"/>
    </row>
    <row r="266" spans="1:9" ht="24" hidden="1" customHeight="1" thickTop="1" thickBot="1" x14ac:dyDescent="0.35">
      <c r="A266" s="46">
        <v>263</v>
      </c>
      <c r="B266" s="159"/>
      <c r="C266" s="23"/>
      <c r="D266" s="24"/>
      <c r="E266" s="24"/>
      <c r="F266" s="24">
        <f>Inventory_List_Table58[[#This Row],[الكمية]]-Inventory_List_Table58[[#This Row],[الصادر]]</f>
        <v>0</v>
      </c>
      <c r="G266" s="28"/>
      <c r="H266" s="25" t="e">
        <f>[1]!الجدول2[[#This Row],[التكلفة]]*[1]!الجدول2[[#This Row],[سحب أيوب ]]</f>
        <v>#REF!</v>
      </c>
      <c r="I266" s="37"/>
    </row>
    <row r="267" spans="1:9" ht="24" hidden="1" customHeight="1" thickTop="1" thickBot="1" x14ac:dyDescent="0.35">
      <c r="A267" s="46">
        <v>264</v>
      </c>
      <c r="B267" s="159"/>
      <c r="C267" s="23"/>
      <c r="D267" s="24"/>
      <c r="E267" s="24"/>
      <c r="F267" s="24">
        <f>Inventory_List_Table58[[#This Row],[الكمية]]-Inventory_List_Table58[[#This Row],[الصادر]]</f>
        <v>0</v>
      </c>
      <c r="G267" s="28"/>
      <c r="H267" s="25" t="e">
        <f>[1]!الجدول2[[#This Row],[التكلفة]]*[1]!الجدول2[[#This Row],[سحب أيوب ]]</f>
        <v>#REF!</v>
      </c>
      <c r="I267" s="37"/>
    </row>
    <row r="268" spans="1:9" ht="24" hidden="1" customHeight="1" thickTop="1" thickBot="1" x14ac:dyDescent="0.35">
      <c r="A268" s="46">
        <v>265</v>
      </c>
      <c r="B268" s="159"/>
      <c r="C268" s="23"/>
      <c r="D268" s="27"/>
      <c r="E268" s="27"/>
      <c r="F268" s="27">
        <f>Inventory_List_Table58[[#This Row],[الكمية]]-Inventory_List_Table58[[#This Row],[الصادر]]</f>
        <v>0</v>
      </c>
      <c r="G268" s="28"/>
      <c r="H268" s="28" t="e">
        <f>[1]!الجدول2[[#This Row],[التكلفة]]*[1]!الجدول2[[#This Row],[سحب أيوب ]]</f>
        <v>#REF!</v>
      </c>
      <c r="I268" s="37"/>
    </row>
    <row r="269" spans="1:9" ht="24" hidden="1" customHeight="1" thickTop="1" thickBot="1" x14ac:dyDescent="0.35">
      <c r="A269" s="46">
        <v>266</v>
      </c>
      <c r="B269" s="159"/>
      <c r="C269" s="23"/>
      <c r="D269" s="22"/>
      <c r="E269" s="22"/>
      <c r="F269" s="22">
        <f>Inventory_List_Table58[[#This Row],[الكمية]]-Inventory_List_Table58[[#This Row],[الصادر]]</f>
        <v>0</v>
      </c>
      <c r="G269" s="28"/>
      <c r="H269" s="28" t="e">
        <f>[1]!الجدول2[[#This Row],[التكلفة]]*[1]!الجدول2[[#This Row],[سحب أيوب ]]</f>
        <v>#REF!</v>
      </c>
      <c r="I269" s="37"/>
    </row>
    <row r="270" spans="1:9" ht="24" hidden="1" customHeight="1" thickTop="1" thickBot="1" x14ac:dyDescent="0.35">
      <c r="A270" s="46">
        <v>267</v>
      </c>
      <c r="B270" s="159"/>
      <c r="C270" s="23"/>
      <c r="D270" s="29"/>
      <c r="E270" s="29"/>
      <c r="F270" s="29">
        <f>Inventory_List_Table58[[#This Row],[الكمية]]-Inventory_List_Table58[[#This Row],[الصادر]]</f>
        <v>0</v>
      </c>
      <c r="G270" s="30"/>
      <c r="H270" s="72" t="e">
        <f>[1]!الجدول2[[#This Row],[التكلفة]]*[1]!الجدول2[[#This Row],[سحب أيوب ]]</f>
        <v>#REF!</v>
      </c>
      <c r="I270" s="37"/>
    </row>
    <row r="271" spans="1:9" ht="24" hidden="1" customHeight="1" thickTop="1" thickBot="1" x14ac:dyDescent="0.35">
      <c r="A271" s="46">
        <v>268</v>
      </c>
      <c r="B271" s="159"/>
      <c r="C271" s="23"/>
      <c r="D271" s="24"/>
      <c r="E271" s="24"/>
      <c r="F271" s="24">
        <f>Inventory_List_Table58[[#This Row],[الكمية]]-Inventory_List_Table58[[#This Row],[الصادر]]</f>
        <v>0</v>
      </c>
      <c r="G271" s="28"/>
      <c r="H271" s="25" t="e">
        <f>[1]!الجدول2[[#This Row],[التكلفة]]*[1]!الجدول2[[#This Row],[سحب أيوب ]]</f>
        <v>#REF!</v>
      </c>
      <c r="I271" s="37"/>
    </row>
    <row r="272" spans="1:9" ht="24" hidden="1" customHeight="1" thickTop="1" thickBot="1" x14ac:dyDescent="0.35">
      <c r="A272" s="46">
        <v>269</v>
      </c>
      <c r="B272" s="159"/>
      <c r="C272" s="23"/>
      <c r="D272" s="24"/>
      <c r="E272" s="24"/>
      <c r="F272" s="24">
        <f>Inventory_List_Table58[[#This Row],[الكمية]]-Inventory_List_Table58[[#This Row],[الصادر]]</f>
        <v>0</v>
      </c>
      <c r="G272" s="28"/>
      <c r="H272" s="25" t="e">
        <f>[1]!الجدول2[[#This Row],[التكلفة]]*[1]!الجدول2[[#This Row],[سحب أيوب ]]</f>
        <v>#REF!</v>
      </c>
      <c r="I272" s="37"/>
    </row>
    <row r="273" spans="1:9" ht="24" hidden="1" customHeight="1" thickTop="1" thickBot="1" x14ac:dyDescent="0.35">
      <c r="A273" s="46">
        <v>270</v>
      </c>
      <c r="B273" s="159"/>
      <c r="C273" s="23"/>
      <c r="D273" s="29"/>
      <c r="E273" s="29"/>
      <c r="F273" s="29">
        <f>Inventory_List_Table58[[#This Row],[الكمية]]-Inventory_List_Table58[[#This Row],[الصادر]]</f>
        <v>0</v>
      </c>
      <c r="G273" s="30"/>
      <c r="H273" s="72" t="e">
        <f>[1]!الجدول2[[#This Row],[التكلفة]]*[1]!الجدول2[[#This Row],[سحب أيوب ]]</f>
        <v>#REF!</v>
      </c>
      <c r="I273" s="37"/>
    </row>
    <row r="274" spans="1:9" ht="24" hidden="1" customHeight="1" thickTop="1" thickBot="1" x14ac:dyDescent="0.35">
      <c r="A274" s="46">
        <v>271</v>
      </c>
      <c r="B274" s="159"/>
      <c r="C274" s="23"/>
      <c r="D274" s="22"/>
      <c r="E274" s="22"/>
      <c r="F274" s="22">
        <f>Inventory_List_Table58[[#This Row],[الكمية]]-Inventory_List_Table58[[#This Row],[الصادر]]</f>
        <v>0</v>
      </c>
      <c r="G274" s="26"/>
      <c r="H274" s="25" t="e">
        <f>[1]!الجدول2[[#This Row],[التكلفة]]*[1]!الجدول2[[#This Row],[سحب أيوب ]]</f>
        <v>#REF!</v>
      </c>
      <c r="I274" s="37"/>
    </row>
    <row r="275" spans="1:9" ht="24" hidden="1" customHeight="1" thickTop="1" thickBot="1" x14ac:dyDescent="0.35">
      <c r="A275" s="46">
        <v>272</v>
      </c>
      <c r="B275" s="159"/>
      <c r="C275" s="23"/>
      <c r="D275" s="29"/>
      <c r="E275" s="29"/>
      <c r="F275" s="29">
        <f>Inventory_List_Table58[[#This Row],[الكمية]]-Inventory_List_Table58[[#This Row],[الصادر]]</f>
        <v>0</v>
      </c>
      <c r="G275" s="30"/>
      <c r="H275" s="72" t="e">
        <f>[1]!الجدول2[[#This Row],[التكلفة]]*[1]!الجدول2[[#This Row],[سحب أيوب ]]</f>
        <v>#REF!</v>
      </c>
      <c r="I275" s="37"/>
    </row>
    <row r="276" spans="1:9" ht="24" hidden="1" customHeight="1" thickTop="1" thickBot="1" x14ac:dyDescent="0.35">
      <c r="A276" s="46">
        <v>273</v>
      </c>
      <c r="B276" s="159"/>
      <c r="C276" s="23"/>
      <c r="D276" s="29"/>
      <c r="E276" s="29"/>
      <c r="F276" s="29">
        <f>Inventory_List_Table58[[#This Row],[الكمية]]-Inventory_List_Table58[[#This Row],[الصادر]]</f>
        <v>0</v>
      </c>
      <c r="G276" s="30"/>
      <c r="H276" s="72" t="e">
        <f>[1]!الجدول2[[#This Row],[التكلفة]]*[1]!الجدول2[[#This Row],[سحب أيوب ]]</f>
        <v>#REF!</v>
      </c>
      <c r="I276" s="37"/>
    </row>
    <row r="277" spans="1:9" ht="24" hidden="1" customHeight="1" thickTop="1" thickBot="1" x14ac:dyDescent="0.35">
      <c r="A277" s="46">
        <v>274</v>
      </c>
      <c r="B277" s="159"/>
      <c r="C277" s="23"/>
      <c r="D277" s="24"/>
      <c r="E277" s="24"/>
      <c r="F277" s="24">
        <f>Inventory_List_Table58[[#This Row],[الكمية]]-Inventory_List_Table58[[#This Row],[الصادر]]</f>
        <v>0</v>
      </c>
      <c r="G277" s="28"/>
      <c r="H277" s="25" t="e">
        <f>[1]!الجدول2[[#This Row],[التكلفة]]*[1]!الجدول2[[#This Row],[سحب أيوب ]]</f>
        <v>#REF!</v>
      </c>
      <c r="I277" s="37"/>
    </row>
    <row r="278" spans="1:9" ht="24" hidden="1" customHeight="1" thickTop="1" thickBot="1" x14ac:dyDescent="0.35">
      <c r="A278" s="46">
        <v>275</v>
      </c>
      <c r="B278" s="159"/>
      <c r="C278" s="23"/>
      <c r="D278" s="29"/>
      <c r="E278" s="29"/>
      <c r="F278" s="29">
        <f>Inventory_List_Table58[[#This Row],[الكمية]]-Inventory_List_Table58[[#This Row],[الصادر]]</f>
        <v>0</v>
      </c>
      <c r="G278" s="30"/>
      <c r="H278" s="72" t="e">
        <f>[1]!الجدول2[[#This Row],[التكلفة]]*[1]!الجدول2[[#This Row],[سحب أيوب ]]</f>
        <v>#REF!</v>
      </c>
      <c r="I278" s="37"/>
    </row>
    <row r="279" spans="1:9" ht="24" hidden="1" customHeight="1" thickTop="1" thickBot="1" x14ac:dyDescent="0.35">
      <c r="A279" s="46">
        <v>276</v>
      </c>
      <c r="B279" s="159"/>
      <c r="C279" s="23"/>
      <c r="D279" s="29"/>
      <c r="E279" s="29"/>
      <c r="F279" s="29">
        <f>Inventory_List_Table58[[#This Row],[الكمية]]-Inventory_List_Table58[[#This Row],[الصادر]]</f>
        <v>0</v>
      </c>
      <c r="G279" s="30"/>
      <c r="H279" s="72" t="e">
        <f>[1]!الجدول2[[#This Row],[التكلفة]]*[1]!الجدول2[[#This Row],[سحب أيوب ]]</f>
        <v>#REF!</v>
      </c>
      <c r="I279" s="37"/>
    </row>
    <row r="280" spans="1:9" ht="24" hidden="1" customHeight="1" thickTop="1" thickBot="1" x14ac:dyDescent="0.35">
      <c r="A280" s="46">
        <v>277</v>
      </c>
      <c r="B280" s="159"/>
      <c r="C280" s="23"/>
      <c r="D280" s="24"/>
      <c r="E280" s="24"/>
      <c r="F280" s="24">
        <f>Inventory_List_Table58[[#This Row],[الكمية]]-Inventory_List_Table58[[#This Row],[الصادر]]</f>
        <v>0</v>
      </c>
      <c r="G280" s="28"/>
      <c r="H280" s="25" t="e">
        <f>[1]!الجدول2[[#This Row],[التكلفة]]*[1]!الجدول2[[#This Row],[سحب أيوب ]]</f>
        <v>#REF!</v>
      </c>
      <c r="I280" s="37"/>
    </row>
    <row r="281" spans="1:9" ht="24" hidden="1" customHeight="1" thickTop="1" thickBot="1" x14ac:dyDescent="0.35">
      <c r="A281" s="46">
        <v>278</v>
      </c>
      <c r="B281" s="159"/>
      <c r="C281" s="23"/>
      <c r="D281" s="29"/>
      <c r="E281" s="29"/>
      <c r="F281" s="29">
        <f>Inventory_List_Table58[[#This Row],[الكمية]]-Inventory_List_Table58[[#This Row],[الصادر]]</f>
        <v>0</v>
      </c>
      <c r="G281" s="30"/>
      <c r="H281" s="72" t="e">
        <f>[1]!الجدول2[[#This Row],[التكلفة]]*[1]!الجدول2[[#This Row],[سحب أيوب ]]</f>
        <v>#REF!</v>
      </c>
      <c r="I281" s="37"/>
    </row>
    <row r="282" spans="1:9" ht="24" hidden="1" customHeight="1" thickTop="1" thickBot="1" x14ac:dyDescent="0.35">
      <c r="A282" s="46">
        <v>279</v>
      </c>
      <c r="B282" s="159"/>
      <c r="C282" s="23"/>
      <c r="D282" s="24"/>
      <c r="E282" s="24"/>
      <c r="F282" s="24">
        <f>Inventory_List_Table58[[#This Row],[الكمية]]-Inventory_List_Table58[[#This Row],[الصادر]]</f>
        <v>0</v>
      </c>
      <c r="G282" s="28"/>
      <c r="H282" s="25" t="e">
        <f>[1]!الجدول2[[#This Row],[التكلفة]]*[1]!الجدول2[[#This Row],[سحب أيوب ]]</f>
        <v>#REF!</v>
      </c>
      <c r="I282" s="37"/>
    </row>
    <row r="283" spans="1:9" ht="24" hidden="1" customHeight="1" thickTop="1" thickBot="1" x14ac:dyDescent="0.35">
      <c r="A283" s="46">
        <v>280</v>
      </c>
      <c r="B283" s="159"/>
      <c r="C283" s="23"/>
      <c r="D283" s="29"/>
      <c r="E283" s="29"/>
      <c r="F283" s="29">
        <f>Inventory_List_Table58[[#This Row],[الكمية]]-Inventory_List_Table58[[#This Row],[الصادر]]</f>
        <v>0</v>
      </c>
      <c r="G283" s="30"/>
      <c r="H283" s="72" t="e">
        <f>[1]!الجدول2[[#This Row],[التكلفة]]*[1]!الجدول2[[#This Row],[سحب أيوب ]]</f>
        <v>#REF!</v>
      </c>
      <c r="I283" s="37"/>
    </row>
    <row r="284" spans="1:9" ht="24" hidden="1" customHeight="1" thickTop="1" thickBot="1" x14ac:dyDescent="0.35">
      <c r="A284" s="46">
        <v>281</v>
      </c>
      <c r="B284" s="159"/>
      <c r="C284" s="23"/>
      <c r="D284" s="24"/>
      <c r="E284" s="24"/>
      <c r="F284" s="24">
        <f>Inventory_List_Table58[[#This Row],[الكمية]]-Inventory_List_Table58[[#This Row],[الصادر]]</f>
        <v>0</v>
      </c>
      <c r="G284" s="28"/>
      <c r="H284" s="25" t="e">
        <f>[1]!الجدول2[[#This Row],[التكلفة]]*[1]!الجدول2[[#This Row],[سحب أيوب ]]</f>
        <v>#REF!</v>
      </c>
      <c r="I284" s="37"/>
    </row>
    <row r="285" spans="1:9" ht="24" hidden="1" customHeight="1" thickTop="1" thickBot="1" x14ac:dyDescent="0.35">
      <c r="A285" s="46">
        <v>282</v>
      </c>
      <c r="B285" s="159"/>
      <c r="C285" s="23"/>
      <c r="D285" s="29"/>
      <c r="E285" s="29"/>
      <c r="F285" s="29">
        <f>Inventory_List_Table58[[#This Row],[الكمية]]-Inventory_List_Table58[[#This Row],[الصادر]]</f>
        <v>0</v>
      </c>
      <c r="G285" s="30"/>
      <c r="H285" s="72" t="e">
        <f>[1]!الجدول2[[#This Row],[التكلفة]]*[1]!الجدول2[[#This Row],[سحب أيوب ]]</f>
        <v>#REF!</v>
      </c>
      <c r="I285" s="37"/>
    </row>
    <row r="286" spans="1:9" ht="24" hidden="1" customHeight="1" thickTop="1" thickBot="1" x14ac:dyDescent="0.35">
      <c r="A286" s="46">
        <v>283</v>
      </c>
      <c r="B286" s="159"/>
      <c r="C286" s="23"/>
      <c r="D286" s="24"/>
      <c r="E286" s="24"/>
      <c r="F286" s="24">
        <f>Inventory_List_Table58[[#This Row],[الكمية]]-Inventory_List_Table58[[#This Row],[الصادر]]</f>
        <v>0</v>
      </c>
      <c r="G286" s="28"/>
      <c r="H286" s="25" t="e">
        <f>[1]!الجدول2[[#This Row],[التكلفة]]*[1]!الجدول2[[#This Row],[سحب أيوب ]]</f>
        <v>#REF!</v>
      </c>
      <c r="I286" s="37"/>
    </row>
    <row r="287" spans="1:9" ht="24" hidden="1" customHeight="1" thickTop="1" thickBot="1" x14ac:dyDescent="0.35">
      <c r="A287" s="46">
        <v>284</v>
      </c>
      <c r="B287" s="159"/>
      <c r="C287" s="23"/>
      <c r="D287" s="24"/>
      <c r="E287" s="24"/>
      <c r="F287" s="24">
        <f>Inventory_List_Table58[[#This Row],[الكمية]]-Inventory_List_Table58[[#This Row],[الصادر]]</f>
        <v>0</v>
      </c>
      <c r="G287" s="28"/>
      <c r="H287" s="25" t="e">
        <f>[1]!الجدول2[[#This Row],[التكلفة]]*[1]!الجدول2[[#This Row],[سحب أيوب ]]</f>
        <v>#REF!</v>
      </c>
      <c r="I287" s="37"/>
    </row>
    <row r="288" spans="1:9" ht="24" hidden="1" customHeight="1" thickTop="1" thickBot="1" x14ac:dyDescent="0.35">
      <c r="A288" s="46">
        <v>285</v>
      </c>
      <c r="B288" s="159"/>
      <c r="C288" s="23"/>
      <c r="D288" s="29"/>
      <c r="E288" s="29"/>
      <c r="F288" s="29">
        <f>Inventory_List_Table58[[#This Row],[الكمية]]-Inventory_List_Table58[[#This Row],[الصادر]]</f>
        <v>0</v>
      </c>
      <c r="G288" s="30"/>
      <c r="H288" s="72" t="e">
        <f>[1]!الجدول2[[#This Row],[التكلفة]]*[1]!الجدول2[[#This Row],[سحب أيوب ]]</f>
        <v>#REF!</v>
      </c>
      <c r="I288" s="37"/>
    </row>
    <row r="289" spans="1:9" ht="24" hidden="1" customHeight="1" thickTop="1" thickBot="1" x14ac:dyDescent="0.35">
      <c r="A289" s="46">
        <v>286</v>
      </c>
      <c r="B289" s="159"/>
      <c r="C289" s="23"/>
      <c r="D289" s="22"/>
      <c r="E289" s="22"/>
      <c r="F289" s="22">
        <f>Inventory_List_Table58[[#This Row],[الكمية]]-Inventory_List_Table58[[#This Row],[الصادر]]</f>
        <v>0</v>
      </c>
      <c r="G289" s="28"/>
      <c r="H289" s="28" t="e">
        <f>[1]!الجدول2[[#This Row],[التكلفة]]*[1]!الجدول2[[#This Row],[سحب أيوب ]]</f>
        <v>#REF!</v>
      </c>
      <c r="I289" s="37"/>
    </row>
    <row r="290" spans="1:9" ht="24" hidden="1" customHeight="1" thickTop="1" thickBot="1" x14ac:dyDescent="0.35">
      <c r="A290" s="46">
        <v>287</v>
      </c>
      <c r="B290" s="159"/>
      <c r="C290" s="23"/>
      <c r="D290" s="22"/>
      <c r="E290" s="22"/>
      <c r="F290" s="22">
        <f>Inventory_List_Table58[[#This Row],[الكمية]]-Inventory_List_Table58[[#This Row],[الصادر]]</f>
        <v>0</v>
      </c>
      <c r="G290" s="28"/>
      <c r="H290" s="28" t="e">
        <f>[1]!الجدول2[[#This Row],[التكلفة]]*[1]!الجدول2[[#This Row],[سحب أيوب ]]</f>
        <v>#REF!</v>
      </c>
      <c r="I290" s="37"/>
    </row>
    <row r="291" spans="1:9" ht="24" hidden="1" customHeight="1" thickTop="1" thickBot="1" x14ac:dyDescent="0.35">
      <c r="A291" s="46">
        <v>288</v>
      </c>
      <c r="B291" s="159"/>
      <c r="C291" s="23"/>
      <c r="D291" s="27"/>
      <c r="E291" s="27"/>
      <c r="F291" s="27">
        <f>Inventory_List_Table58[[#This Row],[الكمية]]-Inventory_List_Table58[[#This Row],[الصادر]]</f>
        <v>0</v>
      </c>
      <c r="G291" s="28"/>
      <c r="H291" s="25" t="e">
        <f>[1]!الجدول2[[#This Row],[التكلفة]]*[1]!الجدول2[[#This Row],[سحب أيوب ]]</f>
        <v>#REF!</v>
      </c>
      <c r="I291" s="37"/>
    </row>
    <row r="292" spans="1:9" ht="24" hidden="1" customHeight="1" thickTop="1" thickBot="1" x14ac:dyDescent="0.35">
      <c r="A292" s="46">
        <v>289</v>
      </c>
      <c r="B292" s="159"/>
      <c r="C292" s="23"/>
      <c r="D292" s="27"/>
      <c r="E292" s="27"/>
      <c r="F292" s="27">
        <f>Inventory_List_Table58[[#This Row],[الكمية]]-Inventory_List_Table58[[#This Row],[الصادر]]</f>
        <v>0</v>
      </c>
      <c r="G292" s="28"/>
      <c r="H292" s="25" t="e">
        <f>[1]!الجدول2[[#This Row],[التكلفة]]*[1]!الجدول2[[#This Row],[سحب أيوب ]]</f>
        <v>#REF!</v>
      </c>
      <c r="I292" s="37"/>
    </row>
    <row r="293" spans="1:9" ht="24" hidden="1" customHeight="1" thickTop="1" thickBot="1" x14ac:dyDescent="0.35">
      <c r="A293" s="46">
        <v>290</v>
      </c>
      <c r="B293" s="159"/>
      <c r="C293" s="23"/>
      <c r="D293" s="27"/>
      <c r="E293" s="27"/>
      <c r="F293" s="27">
        <f>Inventory_List_Table58[[#This Row],[الكمية]]-Inventory_List_Table58[[#This Row],[الصادر]]</f>
        <v>0</v>
      </c>
      <c r="G293" s="28"/>
      <c r="H293" s="25" t="e">
        <f>[1]!الجدول2[[#This Row],[التكلفة]]*[1]!الجدول2[[#This Row],[سحب أيوب ]]</f>
        <v>#REF!</v>
      </c>
      <c r="I293" s="37"/>
    </row>
    <row r="294" spans="1:9" ht="24" hidden="1" customHeight="1" thickTop="1" thickBot="1" x14ac:dyDescent="0.35">
      <c r="A294" s="46">
        <v>291</v>
      </c>
      <c r="B294" s="159"/>
      <c r="C294" s="23"/>
      <c r="D294" s="27"/>
      <c r="E294" s="27"/>
      <c r="F294" s="27">
        <f>Inventory_List_Table58[[#This Row],[الكمية]]-Inventory_List_Table58[[#This Row],[الصادر]]</f>
        <v>0</v>
      </c>
      <c r="G294" s="28"/>
      <c r="H294" s="25" t="e">
        <f>[1]!الجدول2[[#This Row],[التكلفة]]*[1]!الجدول2[[#This Row],[سحب أيوب ]]</f>
        <v>#REF!</v>
      </c>
      <c r="I294" s="37"/>
    </row>
    <row r="295" spans="1:9" ht="24" hidden="1" customHeight="1" thickTop="1" thickBot="1" x14ac:dyDescent="0.35">
      <c r="A295" s="46">
        <v>292</v>
      </c>
      <c r="B295" s="159"/>
      <c r="C295" s="23"/>
      <c r="D295" s="22"/>
      <c r="E295" s="22"/>
      <c r="F295" s="22">
        <f>Inventory_List_Table58[[#This Row],[الكمية]]-Inventory_List_Table58[[#This Row],[الصادر]]</f>
        <v>0</v>
      </c>
      <c r="G295" s="26"/>
      <c r="H295" s="25" t="e">
        <f>[1]!الجدول2[[#This Row],[التكلفة]]*[1]!الجدول2[[#This Row],[سحب أيوب ]]</f>
        <v>#REF!</v>
      </c>
      <c r="I295" s="37"/>
    </row>
    <row r="296" spans="1:9" ht="24" hidden="1" customHeight="1" thickTop="1" thickBot="1" x14ac:dyDescent="0.35">
      <c r="A296" s="46">
        <v>293</v>
      </c>
      <c r="B296" s="159"/>
      <c r="C296" s="23"/>
      <c r="D296" s="29"/>
      <c r="E296" s="29"/>
      <c r="F296" s="29">
        <f>Inventory_List_Table58[[#This Row],[الكمية]]-Inventory_List_Table58[[#This Row],[الصادر]]</f>
        <v>0</v>
      </c>
      <c r="G296" s="30"/>
      <c r="H296" s="72" t="e">
        <f>[1]!الجدول2[[#This Row],[التكلفة]]*[1]!الجدول2[[#This Row],[سحب أيوب ]]</f>
        <v>#REF!</v>
      </c>
      <c r="I296" s="37"/>
    </row>
    <row r="297" spans="1:9" ht="24" hidden="1" customHeight="1" thickTop="1" thickBot="1" x14ac:dyDescent="0.35">
      <c r="A297" s="46">
        <v>294</v>
      </c>
      <c r="B297" s="159"/>
      <c r="C297" s="23"/>
      <c r="D297" s="24"/>
      <c r="E297" s="24"/>
      <c r="F297" s="24">
        <f>Inventory_List_Table58[[#This Row],[الكمية]]-Inventory_List_Table58[[#This Row],[الصادر]]</f>
        <v>0</v>
      </c>
      <c r="G297" s="28"/>
      <c r="H297" s="25" t="e">
        <f>[1]!الجدول2[[#This Row],[التكلفة]]*[1]!الجدول2[[#This Row],[سحب أيوب ]]</f>
        <v>#REF!</v>
      </c>
      <c r="I297" s="37"/>
    </row>
    <row r="298" spans="1:9" ht="24" hidden="1" customHeight="1" thickTop="1" thickBot="1" x14ac:dyDescent="0.35">
      <c r="A298" s="46">
        <v>295</v>
      </c>
      <c r="B298" s="159"/>
      <c r="C298" s="23"/>
      <c r="D298" s="29"/>
      <c r="E298" s="29"/>
      <c r="F298" s="29">
        <f>Inventory_List_Table58[[#This Row],[الكمية]]-Inventory_List_Table58[[#This Row],[الصادر]]</f>
        <v>0</v>
      </c>
      <c r="G298" s="30"/>
      <c r="H298" s="72" t="e">
        <f>[1]!الجدول2[[#This Row],[التكلفة]]*[1]!الجدول2[[#This Row],[سحب أيوب ]]</f>
        <v>#REF!</v>
      </c>
      <c r="I298" s="37"/>
    </row>
    <row r="299" spans="1:9" ht="24" hidden="1" customHeight="1" thickTop="1" thickBot="1" x14ac:dyDescent="0.35">
      <c r="A299" s="46">
        <v>296</v>
      </c>
      <c r="B299" s="159"/>
      <c r="C299" s="23"/>
      <c r="D299" s="27"/>
      <c r="E299" s="27"/>
      <c r="F299" s="27">
        <f>Inventory_List_Table58[[#This Row],[الكمية]]-Inventory_List_Table58[[#This Row],[الصادر]]</f>
        <v>0</v>
      </c>
      <c r="G299" s="28"/>
      <c r="H299" s="25" t="e">
        <f>[1]!الجدول2[[#This Row],[التكلفة]]*[1]!الجدول2[[#This Row],[سحب أيوب ]]</f>
        <v>#REF!</v>
      </c>
      <c r="I299" s="37"/>
    </row>
    <row r="300" spans="1:9" ht="24" hidden="1" customHeight="1" thickTop="1" thickBot="1" x14ac:dyDescent="0.35">
      <c r="A300" s="46">
        <v>297</v>
      </c>
      <c r="B300" s="159"/>
      <c r="C300" s="23"/>
      <c r="D300" s="24"/>
      <c r="E300" s="24"/>
      <c r="F300" s="24">
        <f>Inventory_List_Table58[[#This Row],[الكمية]]-Inventory_List_Table58[[#This Row],[الصادر]]</f>
        <v>0</v>
      </c>
      <c r="G300" s="28"/>
      <c r="H300" s="25" t="e">
        <f>[1]!الجدول2[[#This Row],[التكلفة]]*[1]!الجدول2[[#This Row],[سحب أيوب ]]</f>
        <v>#REF!</v>
      </c>
      <c r="I300" s="37"/>
    </row>
    <row r="301" spans="1:9" ht="24" hidden="1" customHeight="1" thickTop="1" thickBot="1" x14ac:dyDescent="0.35">
      <c r="A301" s="46">
        <v>298</v>
      </c>
      <c r="B301" s="159"/>
      <c r="C301" s="23"/>
      <c r="D301" s="27"/>
      <c r="E301" s="27"/>
      <c r="F301" s="27">
        <f>Inventory_List_Table58[[#This Row],[الكمية]]-Inventory_List_Table58[[#This Row],[الصادر]]</f>
        <v>0</v>
      </c>
      <c r="G301" s="28"/>
      <c r="H301" s="25" t="e">
        <f>[1]!الجدول2[[#This Row],[التكلفة]]*[1]!الجدول2[[#This Row],[سحب أيوب ]]</f>
        <v>#REF!</v>
      </c>
      <c r="I301" s="37"/>
    </row>
    <row r="302" spans="1:9" ht="24" hidden="1" customHeight="1" thickTop="1" thickBot="1" x14ac:dyDescent="0.35">
      <c r="A302" s="46">
        <v>299</v>
      </c>
      <c r="B302" s="159"/>
      <c r="C302" s="23"/>
      <c r="D302" s="24"/>
      <c r="E302" s="24"/>
      <c r="F302" s="24">
        <f>Inventory_List_Table58[[#This Row],[الكمية]]-Inventory_List_Table58[[#This Row],[الصادر]]</f>
        <v>0</v>
      </c>
      <c r="G302" s="28"/>
      <c r="H302" s="25" t="e">
        <f>[1]!الجدول2[[#This Row],[التكلفة]]*[1]!الجدول2[[#This Row],[سحب أيوب ]]</f>
        <v>#REF!</v>
      </c>
      <c r="I302" s="37"/>
    </row>
    <row r="303" spans="1:9" ht="24" hidden="1" customHeight="1" thickTop="1" thickBot="1" x14ac:dyDescent="0.35">
      <c r="A303" s="46">
        <v>300</v>
      </c>
      <c r="B303" s="159"/>
      <c r="C303" s="23"/>
      <c r="D303" s="29"/>
      <c r="E303" s="29"/>
      <c r="F303" s="29">
        <f>Inventory_List_Table58[[#This Row],[الكمية]]-Inventory_List_Table58[[#This Row],[الصادر]]</f>
        <v>0</v>
      </c>
      <c r="G303" s="30"/>
      <c r="H303" s="72" t="e">
        <f>[1]!الجدول2[[#This Row],[التكلفة]]*[1]!الجدول2[[#This Row],[سحب أيوب ]]</f>
        <v>#REF!</v>
      </c>
      <c r="I303" s="37"/>
    </row>
    <row r="304" spans="1:9" ht="24" hidden="1" customHeight="1" thickTop="1" thickBot="1" x14ac:dyDescent="0.35">
      <c r="A304" s="46">
        <v>301</v>
      </c>
      <c r="B304" s="159"/>
      <c r="C304" s="23"/>
      <c r="D304" s="29"/>
      <c r="E304" s="29"/>
      <c r="F304" s="29">
        <f>Inventory_List_Table58[[#This Row],[الكمية]]-Inventory_List_Table58[[#This Row],[الصادر]]</f>
        <v>0</v>
      </c>
      <c r="G304" s="30"/>
      <c r="H304" s="72" t="e">
        <f>[1]!الجدول2[[#This Row],[التكلفة]]*[1]!الجدول2[[#This Row],[سحب أيوب ]]</f>
        <v>#REF!</v>
      </c>
      <c r="I304" s="37"/>
    </row>
    <row r="305" spans="1:9" ht="24" hidden="1" customHeight="1" thickTop="1" thickBot="1" x14ac:dyDescent="0.35">
      <c r="A305" s="46">
        <v>302</v>
      </c>
      <c r="B305" s="159"/>
      <c r="C305" s="23"/>
      <c r="D305" s="29"/>
      <c r="E305" s="29"/>
      <c r="F305" s="29">
        <f>Inventory_List_Table58[[#This Row],[الكمية]]-Inventory_List_Table58[[#This Row],[الصادر]]</f>
        <v>0</v>
      </c>
      <c r="G305" s="30"/>
      <c r="H305" s="72" t="e">
        <f>[1]!الجدول2[[#This Row],[التكلفة]]*[1]!الجدول2[[#This Row],[سحب أيوب ]]</f>
        <v>#REF!</v>
      </c>
      <c r="I305" s="37"/>
    </row>
    <row r="306" spans="1:9" ht="24" hidden="1" customHeight="1" thickTop="1" thickBot="1" x14ac:dyDescent="0.35">
      <c r="A306" s="46">
        <v>303</v>
      </c>
      <c r="B306" s="159"/>
      <c r="C306" s="23"/>
      <c r="D306" s="24"/>
      <c r="E306" s="24"/>
      <c r="F306" s="24">
        <f>Inventory_List_Table58[[#This Row],[الكمية]]-Inventory_List_Table58[[#This Row],[الصادر]]</f>
        <v>0</v>
      </c>
      <c r="G306" s="28"/>
      <c r="H306" s="25" t="e">
        <f>[1]!الجدول2[[#This Row],[التكلفة]]*[1]!الجدول2[[#This Row],[سحب أيوب ]]</f>
        <v>#REF!</v>
      </c>
      <c r="I306" s="37"/>
    </row>
    <row r="307" spans="1:9" ht="24" hidden="1" customHeight="1" thickTop="1" thickBot="1" x14ac:dyDescent="0.35">
      <c r="A307" s="46">
        <v>304</v>
      </c>
      <c r="B307" s="159"/>
      <c r="C307" s="23"/>
      <c r="D307" s="29"/>
      <c r="E307" s="29"/>
      <c r="F307" s="29">
        <f>Inventory_List_Table58[[#This Row],[الكمية]]-Inventory_List_Table58[[#This Row],[الصادر]]</f>
        <v>0</v>
      </c>
      <c r="G307" s="30"/>
      <c r="H307" s="72" t="e">
        <f>[1]!الجدول2[[#This Row],[التكلفة]]*[1]!الجدول2[[#This Row],[سحب أيوب ]]</f>
        <v>#REF!</v>
      </c>
      <c r="I307" s="37"/>
    </row>
    <row r="308" spans="1:9" ht="24" hidden="1" customHeight="1" thickTop="1" thickBot="1" x14ac:dyDescent="0.35">
      <c r="A308" s="46">
        <v>305</v>
      </c>
      <c r="B308" s="159"/>
      <c r="C308" s="23"/>
      <c r="D308" s="24"/>
      <c r="E308" s="24"/>
      <c r="F308" s="24">
        <f>Inventory_List_Table58[[#This Row],[الكمية]]-Inventory_List_Table58[[#This Row],[الصادر]]</f>
        <v>0</v>
      </c>
      <c r="G308" s="28"/>
      <c r="H308" s="25" t="e">
        <f>[1]!الجدول2[[#This Row],[التكلفة]]*[1]!الجدول2[[#This Row],[سحب أيوب ]]</f>
        <v>#REF!</v>
      </c>
      <c r="I308" s="37"/>
    </row>
    <row r="309" spans="1:9" ht="24" hidden="1" customHeight="1" thickTop="1" thickBot="1" x14ac:dyDescent="0.35">
      <c r="A309" s="46">
        <v>306</v>
      </c>
      <c r="B309" s="159"/>
      <c r="C309" s="23"/>
      <c r="D309" s="24"/>
      <c r="E309" s="24"/>
      <c r="F309" s="24">
        <f>Inventory_List_Table58[[#This Row],[الكمية]]-Inventory_List_Table58[[#This Row],[الصادر]]</f>
        <v>0</v>
      </c>
      <c r="G309" s="28"/>
      <c r="H309" s="25" t="e">
        <f>[1]!الجدول2[[#This Row],[التكلفة]]*[1]!الجدول2[[#This Row],[سحب أيوب ]]</f>
        <v>#REF!</v>
      </c>
      <c r="I309" s="37"/>
    </row>
    <row r="310" spans="1:9" ht="24" hidden="1" customHeight="1" thickTop="1" thickBot="1" x14ac:dyDescent="0.35">
      <c r="A310" s="46">
        <v>307</v>
      </c>
      <c r="B310" s="159"/>
      <c r="C310" s="23"/>
      <c r="D310" s="29"/>
      <c r="E310" s="29"/>
      <c r="F310" s="29">
        <f>Inventory_List_Table58[[#This Row],[الكمية]]-Inventory_List_Table58[[#This Row],[الصادر]]</f>
        <v>0</v>
      </c>
      <c r="G310" s="30"/>
      <c r="H310" s="72" t="e">
        <f>[1]!الجدول2[[#This Row],[التكلفة]]*[1]!الجدول2[[#This Row],[سحب أيوب ]]</f>
        <v>#REF!</v>
      </c>
      <c r="I310" s="37"/>
    </row>
    <row r="311" spans="1:9" ht="24" hidden="1" customHeight="1" thickTop="1" thickBot="1" x14ac:dyDescent="0.35">
      <c r="A311" s="46">
        <v>308</v>
      </c>
      <c r="B311" s="159"/>
      <c r="C311" s="23"/>
      <c r="D311" s="24"/>
      <c r="E311" s="24"/>
      <c r="F311" s="24">
        <f>Inventory_List_Table58[[#This Row],[الكمية]]-Inventory_List_Table58[[#This Row],[الصادر]]</f>
        <v>0</v>
      </c>
      <c r="G311" s="28"/>
      <c r="H311" s="25" t="e">
        <f>[1]!الجدول2[[#This Row],[التكلفة]]*[1]!الجدول2[[#This Row],[سحب أيوب ]]</f>
        <v>#REF!</v>
      </c>
      <c r="I311" s="37"/>
    </row>
    <row r="312" spans="1:9" ht="24" hidden="1" customHeight="1" thickTop="1" thickBot="1" x14ac:dyDescent="0.35">
      <c r="A312" s="46">
        <v>309</v>
      </c>
      <c r="B312" s="159"/>
      <c r="C312" s="23"/>
      <c r="D312" s="24"/>
      <c r="E312" s="24"/>
      <c r="F312" s="24">
        <f>Inventory_List_Table58[[#This Row],[الكمية]]-Inventory_List_Table58[[#This Row],[الصادر]]</f>
        <v>0</v>
      </c>
      <c r="G312" s="28"/>
      <c r="H312" s="25" t="e">
        <f>[1]!الجدول2[[#This Row],[التكلفة]]*[1]!الجدول2[[#This Row],[سحب أيوب ]]</f>
        <v>#REF!</v>
      </c>
      <c r="I312" s="37"/>
    </row>
    <row r="313" spans="1:9" ht="24" hidden="1" customHeight="1" thickTop="1" thickBot="1" x14ac:dyDescent="0.35">
      <c r="A313" s="46">
        <v>310</v>
      </c>
      <c r="B313" s="159"/>
      <c r="C313" s="23"/>
      <c r="D313" s="29"/>
      <c r="E313" s="29"/>
      <c r="F313" s="29">
        <f>Inventory_List_Table58[[#This Row],[الكمية]]-Inventory_List_Table58[[#This Row],[الصادر]]</f>
        <v>0</v>
      </c>
      <c r="G313" s="30"/>
      <c r="H313" s="72" t="e">
        <f>[1]!الجدول2[[#This Row],[التكلفة]]*[1]!الجدول2[[#This Row],[سحب أيوب ]]</f>
        <v>#REF!</v>
      </c>
      <c r="I313" s="37"/>
    </row>
    <row r="314" spans="1:9" ht="24" hidden="1" customHeight="1" thickTop="1" thickBot="1" x14ac:dyDescent="0.35">
      <c r="A314" s="46">
        <v>311</v>
      </c>
      <c r="B314" s="164"/>
      <c r="C314" s="23"/>
      <c r="D314" s="24"/>
      <c r="E314" s="24"/>
      <c r="F314" s="24">
        <f>Inventory_List_Table58[[#This Row],[الكمية]]-Inventory_List_Table58[[#This Row],[الصادر]]</f>
        <v>0</v>
      </c>
      <c r="G314" s="28"/>
      <c r="H314" s="25" t="e">
        <f>[1]!الجدول2[[#This Row],[التكلفة]]*[1]!الجدول2[[#This Row],[سحب أيوب ]]</f>
        <v>#REF!</v>
      </c>
      <c r="I314" s="37"/>
    </row>
    <row r="315" spans="1:9" ht="24" hidden="1" customHeight="1" thickTop="1" thickBot="1" x14ac:dyDescent="0.35">
      <c r="A315" s="46">
        <v>312</v>
      </c>
      <c r="B315" s="159"/>
      <c r="C315" s="23"/>
      <c r="D315" s="24"/>
      <c r="E315" s="24"/>
      <c r="F315" s="24">
        <f>Inventory_List_Table58[[#This Row],[الكمية]]-Inventory_List_Table58[[#This Row],[الصادر]]</f>
        <v>0</v>
      </c>
      <c r="G315" s="28"/>
      <c r="H315" s="25" t="e">
        <f>[1]!الجدول2[[#This Row],[التكلفة]]*[1]!الجدول2[[#This Row],[سحب أيوب ]]</f>
        <v>#REF!</v>
      </c>
      <c r="I315" s="37"/>
    </row>
    <row r="316" spans="1:9" ht="24" hidden="1" customHeight="1" thickTop="1" thickBot="1" x14ac:dyDescent="0.35">
      <c r="A316" s="46">
        <v>313</v>
      </c>
      <c r="B316" s="159"/>
      <c r="C316" s="23"/>
      <c r="D316" s="29"/>
      <c r="E316" s="29"/>
      <c r="F316" s="29">
        <f>Inventory_List_Table58[[#This Row],[الكمية]]-Inventory_List_Table58[[#This Row],[الصادر]]</f>
        <v>0</v>
      </c>
      <c r="G316" s="30"/>
      <c r="H316" s="72" t="e">
        <f>[1]!الجدول2[[#This Row],[التكلفة]]*[1]!الجدول2[[#This Row],[سحب أيوب ]]</f>
        <v>#REF!</v>
      </c>
      <c r="I316" s="37"/>
    </row>
    <row r="317" spans="1:9" ht="24" hidden="1" customHeight="1" thickTop="1" thickBot="1" x14ac:dyDescent="0.35">
      <c r="A317" s="46">
        <v>314</v>
      </c>
      <c r="B317" s="159"/>
      <c r="C317" s="23"/>
      <c r="D317" s="22"/>
      <c r="E317" s="22"/>
      <c r="F317" s="22">
        <f>Inventory_List_Table58[[#This Row],[الكمية]]-Inventory_List_Table58[[#This Row],[الصادر]]</f>
        <v>0</v>
      </c>
      <c r="G317" s="28"/>
      <c r="H317" s="28" t="e">
        <f>[1]!الجدول2[[#This Row],[التكلفة]]*[1]!الجدول2[[#This Row],[سحب أيوب ]]</f>
        <v>#REF!</v>
      </c>
      <c r="I317" s="37"/>
    </row>
    <row r="318" spans="1:9" ht="24" hidden="1" customHeight="1" thickTop="1" thickBot="1" x14ac:dyDescent="0.35">
      <c r="A318" s="50">
        <v>315</v>
      </c>
      <c r="B318" s="159"/>
      <c r="C318" s="23"/>
      <c r="D318" s="24"/>
      <c r="E318" s="24"/>
      <c r="F318" s="24">
        <f>Inventory_List_Table58[[#This Row],[الكمية]]-Inventory_List_Table58[[#This Row],[الصادر]]</f>
        <v>0</v>
      </c>
      <c r="G318" s="28"/>
      <c r="H318" s="28" t="e">
        <f>[1]!الجدول2[[#This Row],[التكلفة]]*[1]!الجدول2[[#This Row],[سحب أيوب ]]</f>
        <v>#REF!</v>
      </c>
      <c r="I318" s="37"/>
    </row>
    <row r="319" spans="1:9" ht="24" hidden="1" customHeight="1" thickTop="1" thickBot="1" x14ac:dyDescent="0.35">
      <c r="A319" s="46">
        <v>316</v>
      </c>
      <c r="B319" s="159"/>
      <c r="C319" s="31"/>
      <c r="D319" s="29"/>
      <c r="E319" s="29"/>
      <c r="F319" s="29">
        <f>Inventory_List_Table58[[#This Row],[الكمية]]-Inventory_List_Table58[[#This Row],[الصادر]]</f>
        <v>0</v>
      </c>
      <c r="G319" s="30"/>
      <c r="H319" s="73" t="e">
        <f>[1]!الجدول2[[#This Row],[التكلفة]]*[1]!الجدول2[[#This Row],[سحب أيوب ]]</f>
        <v>#REF!</v>
      </c>
      <c r="I319" s="38"/>
    </row>
    <row r="320" spans="1:9" ht="24" hidden="1" customHeight="1" thickTop="1" thickBot="1" x14ac:dyDescent="0.35">
      <c r="A320" s="46">
        <v>317</v>
      </c>
      <c r="B320" s="149"/>
      <c r="C320" s="31"/>
      <c r="D320" s="27"/>
      <c r="E320" s="27"/>
      <c r="F320" s="27">
        <f>Inventory_List_Table58[[#This Row],[الكمية]]-Inventory_List_Table58[[#This Row],[الصادر]]</f>
        <v>0</v>
      </c>
      <c r="G320" s="32"/>
      <c r="H320" s="73" t="e">
        <f>[1]!الجدول2[[#This Row],[التكلفة]]*[1]!الجدول2[[#This Row],[سحب أيوب ]]</f>
        <v>#REF!</v>
      </c>
      <c r="I320" s="38"/>
    </row>
    <row r="321" spans="1:9" ht="24" hidden="1" customHeight="1" thickTop="1" thickBot="1" x14ac:dyDescent="0.35">
      <c r="A321" s="46">
        <v>318</v>
      </c>
      <c r="B321" s="149"/>
      <c r="C321" s="31"/>
      <c r="D321" s="27"/>
      <c r="E321" s="27"/>
      <c r="F321" s="27">
        <f>Inventory_List_Table58[[#This Row],[الكمية]]-Inventory_List_Table58[[#This Row],[الصادر]]</f>
        <v>0</v>
      </c>
      <c r="G321" s="32"/>
      <c r="H321" s="73" t="e">
        <f>[1]!الجدول2[[#This Row],[التكلفة]]*[1]!الجدول2[[#This Row],[سحب أيوب ]]</f>
        <v>#REF!</v>
      </c>
      <c r="I321" s="38"/>
    </row>
    <row r="322" spans="1:9" ht="24" hidden="1" customHeight="1" thickTop="1" thickBot="1" x14ac:dyDescent="0.35">
      <c r="A322" s="46">
        <v>319</v>
      </c>
      <c r="B322" s="149"/>
      <c r="C322" s="31"/>
      <c r="D322" s="27"/>
      <c r="E322" s="27"/>
      <c r="F322" s="27">
        <f>Inventory_List_Table58[[#This Row],[الكمية]]-Inventory_List_Table58[[#This Row],[الصادر]]</f>
        <v>0</v>
      </c>
      <c r="G322" s="32"/>
      <c r="H322" s="73" t="e">
        <f>[1]!الجدول2[[#This Row],[التكلفة]]*[1]!الجدول2[[#This Row],[سحب أيوب ]]</f>
        <v>#REF!</v>
      </c>
      <c r="I322" s="38"/>
    </row>
    <row r="323" spans="1:9" ht="24" hidden="1" customHeight="1" thickTop="1" thickBot="1" x14ac:dyDescent="0.35">
      <c r="A323" s="46">
        <v>320</v>
      </c>
      <c r="B323" s="149"/>
      <c r="C323" s="31"/>
      <c r="D323" s="27"/>
      <c r="E323" s="27"/>
      <c r="F323" s="27">
        <f>Inventory_List_Table58[[#This Row],[الكمية]]-Inventory_List_Table58[[#This Row],[الصادر]]</f>
        <v>0</v>
      </c>
      <c r="G323" s="32"/>
      <c r="H323" s="73" t="e">
        <f>[1]!الجدول2[[#This Row],[التكلفة]]*[1]!الجدول2[[#This Row],[سحب أيوب ]]</f>
        <v>#REF!</v>
      </c>
      <c r="I323" s="38"/>
    </row>
    <row r="324" spans="1:9" ht="24" hidden="1" customHeight="1" thickTop="1" thickBot="1" x14ac:dyDescent="0.35">
      <c r="A324" s="46">
        <v>321</v>
      </c>
      <c r="B324" s="149"/>
      <c r="C324" s="31"/>
      <c r="D324" s="27"/>
      <c r="E324" s="27"/>
      <c r="F324" s="27">
        <f>Inventory_List_Table58[[#This Row],[الكمية]]-Inventory_List_Table58[[#This Row],[الصادر]]</f>
        <v>0</v>
      </c>
      <c r="G324" s="32"/>
      <c r="H324" s="73" t="e">
        <f>[1]!الجدول2[[#This Row],[التكلفة]]*[1]!الجدول2[[#This Row],[سحب أيوب ]]</f>
        <v>#REF!</v>
      </c>
      <c r="I324" s="38"/>
    </row>
    <row r="325" spans="1:9" ht="24" hidden="1" customHeight="1" thickTop="1" thickBot="1" x14ac:dyDescent="0.35">
      <c r="A325" s="46">
        <v>322</v>
      </c>
      <c r="B325" s="149"/>
      <c r="C325" s="31"/>
      <c r="D325" s="27"/>
      <c r="E325" s="27"/>
      <c r="F325" s="27">
        <f>Inventory_List_Table58[[#This Row],[الكمية]]-Inventory_List_Table58[[#This Row],[الصادر]]</f>
        <v>0</v>
      </c>
      <c r="G325" s="32"/>
      <c r="H325" s="73" t="e">
        <f>[1]!الجدول2[[#This Row],[التكلفة]]*[1]!الجدول2[[#This Row],[سحب أيوب ]]</f>
        <v>#REF!</v>
      </c>
      <c r="I325" s="38"/>
    </row>
    <row r="326" spans="1:9" ht="24" hidden="1" customHeight="1" thickTop="1" thickBot="1" x14ac:dyDescent="0.35">
      <c r="A326" s="46">
        <v>323</v>
      </c>
      <c r="B326" s="149"/>
      <c r="C326" s="31"/>
      <c r="D326" s="27"/>
      <c r="E326" s="27"/>
      <c r="F326" s="27">
        <f>Inventory_List_Table58[[#This Row],[الكمية]]-Inventory_List_Table58[[#This Row],[الصادر]]</f>
        <v>0</v>
      </c>
      <c r="G326" s="32"/>
      <c r="H326" s="73" t="e">
        <f>[1]!الجدول2[[#This Row],[التكلفة]]*[1]!الجدول2[[#This Row],[سحب أيوب ]]</f>
        <v>#REF!</v>
      </c>
      <c r="I326" s="38"/>
    </row>
    <row r="327" spans="1:9" ht="24" hidden="1" customHeight="1" thickTop="1" thickBot="1" x14ac:dyDescent="0.35">
      <c r="A327" s="46">
        <v>324</v>
      </c>
      <c r="B327" s="149"/>
      <c r="C327" s="31"/>
      <c r="D327" s="27"/>
      <c r="E327" s="27"/>
      <c r="F327" s="27">
        <f>Inventory_List_Table58[[#This Row],[الكمية]]-Inventory_List_Table58[[#This Row],[الصادر]]</f>
        <v>0</v>
      </c>
      <c r="G327" s="32"/>
      <c r="H327" s="73" t="e">
        <f>[1]!الجدول2[[#This Row],[التكلفة]]*[1]!الجدول2[[#This Row],[سحب أيوب ]]</f>
        <v>#REF!</v>
      </c>
      <c r="I327" s="38"/>
    </row>
    <row r="328" spans="1:9" ht="24" hidden="1" customHeight="1" thickTop="1" thickBot="1" x14ac:dyDescent="0.35">
      <c r="A328" s="46">
        <v>325</v>
      </c>
      <c r="B328" s="149"/>
      <c r="C328" s="31"/>
      <c r="D328" s="27"/>
      <c r="E328" s="27"/>
      <c r="F328" s="27">
        <f>Inventory_List_Table58[[#This Row],[الكمية]]-Inventory_List_Table58[[#This Row],[الصادر]]</f>
        <v>0</v>
      </c>
      <c r="G328" s="32"/>
      <c r="H328" s="73" t="e">
        <f>[1]!الجدول2[[#This Row],[التكلفة]]*[1]!الجدول2[[#This Row],[سحب أيوب ]]</f>
        <v>#REF!</v>
      </c>
      <c r="I328" s="39"/>
    </row>
    <row r="329" spans="1:9" ht="24" hidden="1" customHeight="1" thickTop="1" thickBot="1" x14ac:dyDescent="0.35">
      <c r="A329" s="46">
        <v>326</v>
      </c>
      <c r="B329" s="149"/>
      <c r="C329" s="31"/>
      <c r="D329" s="27"/>
      <c r="E329" s="27"/>
      <c r="F329" s="27">
        <f>Inventory_List_Table58[[#This Row],[الكمية]]-Inventory_List_Table58[[#This Row],[الصادر]]</f>
        <v>0</v>
      </c>
      <c r="G329" s="32"/>
      <c r="H329" s="73" t="e">
        <f>[1]!الجدول2[[#This Row],[التكلفة]]*[1]!الجدول2[[#This Row],[سحب أيوب ]]</f>
        <v>#REF!</v>
      </c>
      <c r="I329" s="38"/>
    </row>
    <row r="330" spans="1:9" ht="24" hidden="1" customHeight="1" thickTop="1" thickBot="1" x14ac:dyDescent="0.35">
      <c r="A330" s="46">
        <v>327</v>
      </c>
      <c r="B330" s="149"/>
      <c r="C330" s="31"/>
      <c r="D330" s="27"/>
      <c r="E330" s="27"/>
      <c r="F330" s="27">
        <f>Inventory_List_Table58[[#This Row],[الكمية]]-Inventory_List_Table58[[#This Row],[الصادر]]</f>
        <v>0</v>
      </c>
      <c r="G330" s="32"/>
      <c r="H330" s="73" t="e">
        <f>[1]!الجدول2[[#This Row],[التكلفة]]*[1]!الجدول2[[#This Row],[سحب أيوب ]]</f>
        <v>#REF!</v>
      </c>
      <c r="I330" s="40"/>
    </row>
    <row r="331" spans="1:9" ht="24" hidden="1" customHeight="1" thickTop="1" thickBot="1" x14ac:dyDescent="0.35">
      <c r="A331" s="46">
        <v>328</v>
      </c>
      <c r="B331" s="149"/>
      <c r="C331" s="31"/>
      <c r="D331" s="27"/>
      <c r="E331" s="27"/>
      <c r="F331" s="27">
        <f>Inventory_List_Table58[[#This Row],[الكمية]]-Inventory_List_Table58[[#This Row],[الصادر]]</f>
        <v>0</v>
      </c>
      <c r="G331" s="32"/>
      <c r="H331" s="73" t="e">
        <f>[1]!الجدول2[[#This Row],[التكلفة]]*[1]!الجدول2[[#This Row],[سحب أيوب ]]</f>
        <v>#REF!</v>
      </c>
      <c r="I331" s="40"/>
    </row>
    <row r="332" spans="1:9" ht="24" hidden="1" customHeight="1" thickTop="1" thickBot="1" x14ac:dyDescent="0.35">
      <c r="A332" s="46">
        <v>329</v>
      </c>
      <c r="B332" s="149"/>
      <c r="C332" s="31"/>
      <c r="D332" s="27"/>
      <c r="E332" s="27"/>
      <c r="F332" s="27">
        <f>Inventory_List_Table58[[#This Row],[الكمية]]-Inventory_List_Table58[[#This Row],[الصادر]]</f>
        <v>0</v>
      </c>
      <c r="G332" s="32"/>
      <c r="H332" s="73" t="e">
        <f>[1]!الجدول2[[#This Row],[التكلفة]]*[1]!الجدول2[[#This Row],[سحب أيوب ]]</f>
        <v>#REF!</v>
      </c>
      <c r="I332" s="40"/>
    </row>
    <row r="333" spans="1:9" ht="24" hidden="1" customHeight="1" thickTop="1" thickBot="1" x14ac:dyDescent="0.35">
      <c r="A333" s="46">
        <v>330</v>
      </c>
      <c r="B333" s="149"/>
      <c r="C333" s="31"/>
      <c r="D333" s="27"/>
      <c r="E333" s="27"/>
      <c r="F333" s="27">
        <f>Inventory_List_Table58[[#This Row],[الكمية]]-Inventory_List_Table58[[#This Row],[الصادر]]</f>
        <v>0</v>
      </c>
      <c r="G333" s="32"/>
      <c r="H333" s="73" t="e">
        <f>[1]!الجدول2[[#This Row],[التكلفة]]*[1]!الجدول2[[#This Row],[سحب أيوب ]]</f>
        <v>#REF!</v>
      </c>
      <c r="I333" s="40"/>
    </row>
    <row r="334" spans="1:9" ht="24" hidden="1" customHeight="1" thickTop="1" thickBot="1" x14ac:dyDescent="0.35">
      <c r="A334" s="46">
        <v>331</v>
      </c>
      <c r="B334" s="149"/>
      <c r="C334" s="31"/>
      <c r="D334" s="27"/>
      <c r="E334" s="27"/>
      <c r="F334" s="27">
        <f>Inventory_List_Table58[[#This Row],[الكمية]]-Inventory_List_Table58[[#This Row],[الصادر]]</f>
        <v>0</v>
      </c>
      <c r="G334" s="32"/>
      <c r="H334" s="73" t="e">
        <f>[1]!الجدول2[[#This Row],[التكلفة]]*[1]!الجدول2[[#This Row],[سحب أيوب ]]</f>
        <v>#REF!</v>
      </c>
      <c r="I334" s="40"/>
    </row>
    <row r="335" spans="1:9" ht="24" hidden="1" customHeight="1" thickTop="1" thickBot="1" x14ac:dyDescent="0.35">
      <c r="A335" s="46">
        <v>332</v>
      </c>
      <c r="B335" s="149"/>
      <c r="C335" s="31"/>
      <c r="D335" s="27"/>
      <c r="E335" s="27"/>
      <c r="F335" s="27">
        <f>Inventory_List_Table58[[#This Row],[الكمية]]-Inventory_List_Table58[[#This Row],[الصادر]]</f>
        <v>0</v>
      </c>
      <c r="G335" s="32"/>
      <c r="H335" s="73" t="e">
        <f>[1]!الجدول2[[#This Row],[التكلفة]]*[1]!الجدول2[[#This Row],[سحب أيوب ]]</f>
        <v>#REF!</v>
      </c>
      <c r="I335" s="40"/>
    </row>
    <row r="336" spans="1:9" ht="24" hidden="1" customHeight="1" thickTop="1" thickBot="1" x14ac:dyDescent="0.35">
      <c r="A336" s="46">
        <v>333</v>
      </c>
      <c r="B336" s="149"/>
      <c r="C336" s="31"/>
      <c r="D336" s="27"/>
      <c r="E336" s="27"/>
      <c r="F336" s="27">
        <f>Inventory_List_Table58[[#This Row],[الكمية]]-Inventory_List_Table58[[#This Row],[الصادر]]</f>
        <v>0</v>
      </c>
      <c r="G336" s="32"/>
      <c r="H336" s="73" t="e">
        <f>[1]!الجدول2[[#This Row],[التكلفة]]*[1]!الجدول2[[#This Row],[سحب أيوب ]]</f>
        <v>#REF!</v>
      </c>
      <c r="I336" s="40"/>
    </row>
    <row r="337" spans="1:9" ht="24" hidden="1" customHeight="1" thickTop="1" thickBot="1" x14ac:dyDescent="0.35">
      <c r="A337" s="46">
        <v>334</v>
      </c>
      <c r="B337" s="149"/>
      <c r="C337" s="31"/>
      <c r="D337" s="27"/>
      <c r="E337" s="27"/>
      <c r="F337" s="27">
        <f>Inventory_List_Table58[[#This Row],[الكمية]]-Inventory_List_Table58[[#This Row],[الصادر]]</f>
        <v>0</v>
      </c>
      <c r="G337" s="32"/>
      <c r="H337" s="73" t="e">
        <f>[1]!الجدول2[[#This Row],[التكلفة]]*[1]!الجدول2[[#This Row],[سحب أيوب ]]</f>
        <v>#REF!</v>
      </c>
      <c r="I337" s="40"/>
    </row>
    <row r="338" spans="1:9" ht="24" hidden="1" customHeight="1" thickTop="1" thickBot="1" x14ac:dyDescent="0.35">
      <c r="A338" s="46">
        <v>335</v>
      </c>
      <c r="B338" s="149"/>
      <c r="C338" s="31"/>
      <c r="D338" s="27"/>
      <c r="E338" s="27"/>
      <c r="F338" s="27">
        <f>Inventory_List_Table58[[#This Row],[الكمية]]-Inventory_List_Table58[[#This Row],[الصادر]]</f>
        <v>0</v>
      </c>
      <c r="G338" s="32"/>
      <c r="H338" s="73" t="e">
        <f>[1]!الجدول2[[#This Row],[التكلفة]]*[1]!الجدول2[[#This Row],[سحب أيوب ]]</f>
        <v>#REF!</v>
      </c>
      <c r="I338" s="40"/>
    </row>
    <row r="339" spans="1:9" ht="24" hidden="1" customHeight="1" thickTop="1" thickBot="1" x14ac:dyDescent="0.35">
      <c r="A339" s="46">
        <v>336</v>
      </c>
      <c r="B339" s="149"/>
      <c r="C339" s="31"/>
      <c r="D339" s="27"/>
      <c r="E339" s="27"/>
      <c r="F339" s="27">
        <f>Inventory_List_Table58[[#This Row],[الكمية]]-Inventory_List_Table58[[#This Row],[الصادر]]</f>
        <v>0</v>
      </c>
      <c r="G339" s="32"/>
      <c r="H339" s="73" t="e">
        <f>[1]!الجدول2[[#This Row],[التكلفة]]*[1]!الجدول2[[#This Row],[سحب أيوب ]]</f>
        <v>#REF!</v>
      </c>
      <c r="I339" s="40"/>
    </row>
    <row r="340" spans="1:9" ht="24" hidden="1" customHeight="1" thickTop="1" thickBot="1" x14ac:dyDescent="0.35">
      <c r="A340" s="46">
        <v>337</v>
      </c>
      <c r="B340" s="149"/>
      <c r="C340" s="31"/>
      <c r="D340" s="27"/>
      <c r="E340" s="27"/>
      <c r="F340" s="27">
        <f>Inventory_List_Table58[[#This Row],[الكمية]]-Inventory_List_Table58[[#This Row],[الصادر]]</f>
        <v>0</v>
      </c>
      <c r="G340" s="32"/>
      <c r="H340" s="73" t="e">
        <f>[1]!الجدول2[[#This Row],[التكلفة]]*[1]!الجدول2[[#This Row],[سحب أيوب ]]</f>
        <v>#REF!</v>
      </c>
      <c r="I340" s="40"/>
    </row>
    <row r="341" spans="1:9" ht="24" hidden="1" customHeight="1" thickTop="1" thickBot="1" x14ac:dyDescent="0.35">
      <c r="A341" s="46">
        <v>338</v>
      </c>
      <c r="B341" s="149"/>
      <c r="C341" s="31"/>
      <c r="D341" s="27"/>
      <c r="E341" s="27"/>
      <c r="F341" s="27">
        <f>Inventory_List_Table58[[#This Row],[الكمية]]-Inventory_List_Table58[[#This Row],[الصادر]]</f>
        <v>0</v>
      </c>
      <c r="G341" s="32"/>
      <c r="H341" s="73" t="e">
        <f>[1]!الجدول2[[#This Row],[التكلفة]]*[1]!الجدول2[[#This Row],[سحب أيوب ]]</f>
        <v>#REF!</v>
      </c>
      <c r="I341" s="40"/>
    </row>
    <row r="342" spans="1:9" ht="24" hidden="1" customHeight="1" thickTop="1" thickBot="1" x14ac:dyDescent="0.35">
      <c r="A342" s="46">
        <v>339</v>
      </c>
      <c r="B342" s="149"/>
      <c r="C342" s="31"/>
      <c r="D342" s="27"/>
      <c r="E342" s="27"/>
      <c r="F342" s="27">
        <f>Inventory_List_Table58[[#This Row],[الكمية]]-Inventory_List_Table58[[#This Row],[الصادر]]</f>
        <v>0</v>
      </c>
      <c r="G342" s="32"/>
      <c r="H342" s="73" t="e">
        <f>[1]!الجدول2[[#This Row],[التكلفة]]*[1]!الجدول2[[#This Row],[سحب أيوب ]]</f>
        <v>#REF!</v>
      </c>
      <c r="I342" s="40"/>
    </row>
    <row r="343" spans="1:9" ht="24" hidden="1" customHeight="1" thickTop="1" thickBot="1" x14ac:dyDescent="0.35">
      <c r="A343" s="46">
        <v>340</v>
      </c>
      <c r="B343" s="149"/>
      <c r="C343" s="31"/>
      <c r="D343" s="27"/>
      <c r="E343" s="27"/>
      <c r="F343" s="27">
        <f>Inventory_List_Table58[[#This Row],[الكمية]]-Inventory_List_Table58[[#This Row],[الصادر]]</f>
        <v>0</v>
      </c>
      <c r="G343" s="32"/>
      <c r="H343" s="73" t="e">
        <f>[1]!الجدول2[[#This Row],[التكلفة]]*[1]!الجدول2[[#This Row],[سحب أيوب ]]</f>
        <v>#REF!</v>
      </c>
      <c r="I343" s="40"/>
    </row>
    <row r="344" spans="1:9" ht="24" hidden="1" customHeight="1" thickTop="1" thickBot="1" x14ac:dyDescent="0.35">
      <c r="A344" s="46">
        <v>341</v>
      </c>
      <c r="B344" s="149"/>
      <c r="C344" s="31"/>
      <c r="D344" s="27"/>
      <c r="E344" s="27"/>
      <c r="F344" s="27">
        <f>Inventory_List_Table58[[#This Row],[الكمية]]-Inventory_List_Table58[[#This Row],[الصادر]]</f>
        <v>0</v>
      </c>
      <c r="G344" s="32"/>
      <c r="H344" s="73" t="e">
        <f>[1]!الجدول2[[#This Row],[التكلفة]]*[1]!الجدول2[[#This Row],[سحب أيوب ]]</f>
        <v>#REF!</v>
      </c>
      <c r="I344" s="40"/>
    </row>
    <row r="345" spans="1:9" ht="24" hidden="1" customHeight="1" thickTop="1" thickBot="1" x14ac:dyDescent="0.35">
      <c r="A345" s="46">
        <v>342</v>
      </c>
      <c r="B345" s="149"/>
      <c r="C345" s="31"/>
      <c r="D345" s="27"/>
      <c r="E345" s="27"/>
      <c r="F345" s="27">
        <f>Inventory_List_Table58[[#This Row],[الكمية]]-Inventory_List_Table58[[#This Row],[الصادر]]</f>
        <v>0</v>
      </c>
      <c r="G345" s="32"/>
      <c r="H345" s="73" t="e">
        <f>[1]!الجدول2[[#This Row],[التكلفة]]*[1]!الجدول2[[#This Row],[سحب أيوب ]]</f>
        <v>#REF!</v>
      </c>
      <c r="I345" s="40"/>
    </row>
    <row r="346" spans="1:9" ht="24" hidden="1" customHeight="1" thickTop="1" thickBot="1" x14ac:dyDescent="0.35">
      <c r="A346" s="46">
        <v>343</v>
      </c>
      <c r="B346" s="149"/>
      <c r="C346" s="31"/>
      <c r="D346" s="27"/>
      <c r="E346" s="27"/>
      <c r="F346" s="27">
        <f>Inventory_List_Table58[[#This Row],[الكمية]]-Inventory_List_Table58[[#This Row],[الصادر]]</f>
        <v>0</v>
      </c>
      <c r="G346" s="32"/>
      <c r="H346" s="73" t="e">
        <f>[1]!الجدول2[[#This Row],[التكلفة]]*[1]!الجدول2[[#This Row],[سحب أيوب ]]</f>
        <v>#REF!</v>
      </c>
      <c r="I346" s="40"/>
    </row>
    <row r="347" spans="1:9" ht="24" hidden="1" customHeight="1" thickTop="1" thickBot="1" x14ac:dyDescent="0.35">
      <c r="A347" s="46">
        <v>344</v>
      </c>
      <c r="B347" s="149"/>
      <c r="C347" s="31"/>
      <c r="D347" s="27"/>
      <c r="E347" s="27"/>
      <c r="F347" s="27">
        <f>Inventory_List_Table58[[#This Row],[الكمية]]-Inventory_List_Table58[[#This Row],[الصادر]]</f>
        <v>0</v>
      </c>
      <c r="G347" s="32"/>
      <c r="H347" s="73" t="e">
        <f>[1]!الجدول2[[#This Row],[التكلفة]]*[1]!الجدول2[[#This Row],[سحب أيوب ]]</f>
        <v>#REF!</v>
      </c>
      <c r="I347" s="40"/>
    </row>
    <row r="348" spans="1:9" ht="24" hidden="1" customHeight="1" thickTop="1" thickBot="1" x14ac:dyDescent="0.35">
      <c r="A348" s="46">
        <v>345</v>
      </c>
      <c r="B348" s="149"/>
      <c r="C348" s="31"/>
      <c r="D348" s="27"/>
      <c r="E348" s="27"/>
      <c r="F348" s="27">
        <f>Inventory_List_Table58[[#This Row],[الكمية]]-Inventory_List_Table58[[#This Row],[الصادر]]</f>
        <v>0</v>
      </c>
      <c r="G348" s="32"/>
      <c r="H348" s="73" t="e">
        <f>[1]!الجدول2[[#This Row],[التكلفة]]*[1]!الجدول2[[#This Row],[سحب أيوب ]]</f>
        <v>#REF!</v>
      </c>
      <c r="I348" s="40"/>
    </row>
    <row r="349" spans="1:9" ht="24" hidden="1" customHeight="1" thickTop="1" thickBot="1" x14ac:dyDescent="0.35">
      <c r="A349" s="46">
        <v>346</v>
      </c>
      <c r="B349" s="149"/>
      <c r="C349" s="31"/>
      <c r="D349" s="27"/>
      <c r="E349" s="27"/>
      <c r="F349" s="27">
        <f>Inventory_List_Table58[[#This Row],[الكمية]]-Inventory_List_Table58[[#This Row],[الصادر]]</f>
        <v>0</v>
      </c>
      <c r="G349" s="32"/>
      <c r="H349" s="73" t="e">
        <f>[1]!الجدول2[[#This Row],[التكلفة]]*[1]!الجدول2[[#This Row],[سحب أيوب ]]</f>
        <v>#REF!</v>
      </c>
      <c r="I349" s="40"/>
    </row>
    <row r="350" spans="1:9" ht="24" hidden="1" customHeight="1" thickTop="1" thickBot="1" x14ac:dyDescent="0.35">
      <c r="A350" s="46">
        <v>347</v>
      </c>
      <c r="B350" s="149"/>
      <c r="C350" s="31"/>
      <c r="D350" s="27"/>
      <c r="E350" s="27"/>
      <c r="F350" s="27">
        <f>Inventory_List_Table58[[#This Row],[الكمية]]-Inventory_List_Table58[[#This Row],[الصادر]]</f>
        <v>0</v>
      </c>
      <c r="G350" s="32"/>
      <c r="H350" s="73" t="e">
        <f>[1]!الجدول2[[#This Row],[التكلفة]]*[1]!الجدول2[[#This Row],[سحب أيوب ]]</f>
        <v>#REF!</v>
      </c>
      <c r="I350" s="40"/>
    </row>
    <row r="351" spans="1:9" ht="24" hidden="1" customHeight="1" thickTop="1" thickBot="1" x14ac:dyDescent="0.35">
      <c r="A351" s="46">
        <v>348</v>
      </c>
      <c r="B351" s="149"/>
      <c r="C351" s="31"/>
      <c r="D351" s="27"/>
      <c r="E351" s="27"/>
      <c r="F351" s="27">
        <f>Inventory_List_Table58[[#This Row],[الكمية]]-Inventory_List_Table58[[#This Row],[الصادر]]</f>
        <v>0</v>
      </c>
      <c r="G351" s="32"/>
      <c r="H351" s="73" t="e">
        <f>[1]!الجدول2[[#This Row],[التكلفة]]*[1]!الجدول2[[#This Row],[سحب أيوب ]]</f>
        <v>#REF!</v>
      </c>
      <c r="I351" s="40"/>
    </row>
    <row r="352" spans="1:9" ht="24" hidden="1" customHeight="1" thickTop="1" thickBot="1" x14ac:dyDescent="0.35">
      <c r="A352" s="46">
        <v>349</v>
      </c>
      <c r="B352" s="149"/>
      <c r="C352" s="31"/>
      <c r="D352" s="27"/>
      <c r="E352" s="27"/>
      <c r="F352" s="27">
        <f>Inventory_List_Table58[[#This Row],[الكمية]]-Inventory_List_Table58[[#This Row],[الصادر]]</f>
        <v>0</v>
      </c>
      <c r="G352" s="32"/>
      <c r="H352" s="73" t="e">
        <f>[1]!الجدول2[[#This Row],[التكلفة]]*[1]!الجدول2[[#This Row],[سحب أيوب ]]</f>
        <v>#REF!</v>
      </c>
      <c r="I352" s="40"/>
    </row>
    <row r="353" spans="1:9" ht="24" hidden="1" customHeight="1" thickTop="1" thickBot="1" x14ac:dyDescent="0.35">
      <c r="A353" s="46">
        <v>350</v>
      </c>
      <c r="B353" s="149"/>
      <c r="C353" s="31"/>
      <c r="D353" s="27"/>
      <c r="E353" s="27"/>
      <c r="F353" s="27">
        <f>Inventory_List_Table58[[#This Row],[الكمية]]-Inventory_List_Table58[[#This Row],[الصادر]]</f>
        <v>0</v>
      </c>
      <c r="G353" s="32"/>
      <c r="H353" s="73" t="e">
        <f>[1]!الجدول2[[#This Row],[التكلفة]]*[1]!الجدول2[[#This Row],[سحب أيوب ]]</f>
        <v>#REF!</v>
      </c>
      <c r="I353" s="40"/>
    </row>
    <row r="354" spans="1:9" ht="24" hidden="1" customHeight="1" thickTop="1" thickBot="1" x14ac:dyDescent="0.35">
      <c r="A354" s="46">
        <v>351</v>
      </c>
      <c r="B354" s="149"/>
      <c r="C354" s="31"/>
      <c r="D354" s="27"/>
      <c r="E354" s="27"/>
      <c r="F354" s="27">
        <f>Inventory_List_Table58[[#This Row],[الكمية]]-Inventory_List_Table58[[#This Row],[الصادر]]</f>
        <v>0</v>
      </c>
      <c r="G354" s="32"/>
      <c r="H354" s="73" t="e">
        <f>[1]!الجدول2[[#This Row],[التكلفة]]*[1]!الجدول2[[#This Row],[سحب أيوب ]]</f>
        <v>#REF!</v>
      </c>
      <c r="I354" s="40"/>
    </row>
    <row r="355" spans="1:9" ht="24" hidden="1" customHeight="1" thickTop="1" thickBot="1" x14ac:dyDescent="0.35">
      <c r="A355" s="46">
        <v>352</v>
      </c>
      <c r="B355" s="149"/>
      <c r="C355" s="31"/>
      <c r="D355" s="27"/>
      <c r="E355" s="27"/>
      <c r="F355" s="27">
        <f>Inventory_List_Table58[[#This Row],[الكمية]]-Inventory_List_Table58[[#This Row],[الصادر]]</f>
        <v>0</v>
      </c>
      <c r="G355" s="32"/>
      <c r="H355" s="73" t="e">
        <f>[1]!الجدول2[[#This Row],[التكلفة]]*[1]!الجدول2[[#This Row],[سحب أيوب ]]</f>
        <v>#REF!</v>
      </c>
      <c r="I355" s="40"/>
    </row>
    <row r="356" spans="1:9" ht="24" hidden="1" customHeight="1" thickTop="1" thickBot="1" x14ac:dyDescent="0.35">
      <c r="A356" s="46">
        <v>353</v>
      </c>
      <c r="B356" s="149"/>
      <c r="C356" s="31"/>
      <c r="D356" s="27"/>
      <c r="E356" s="27"/>
      <c r="F356" s="27">
        <f>Inventory_List_Table58[[#This Row],[الكمية]]-Inventory_List_Table58[[#This Row],[الصادر]]</f>
        <v>0</v>
      </c>
      <c r="G356" s="32"/>
      <c r="H356" s="73" t="e">
        <f>[1]!الجدول2[[#This Row],[التكلفة]]*[1]!الجدول2[[#This Row],[سحب أيوب ]]</f>
        <v>#REF!</v>
      </c>
      <c r="I356" s="40"/>
    </row>
    <row r="357" spans="1:9" ht="24" hidden="1" customHeight="1" thickTop="1" thickBot="1" x14ac:dyDescent="0.35">
      <c r="A357" s="46">
        <v>354</v>
      </c>
      <c r="B357" s="149"/>
      <c r="C357" s="31"/>
      <c r="D357" s="27"/>
      <c r="E357" s="27"/>
      <c r="F357" s="27">
        <f>Inventory_List_Table58[[#This Row],[الكمية]]-Inventory_List_Table58[[#This Row],[الصادر]]</f>
        <v>0</v>
      </c>
      <c r="G357" s="32"/>
      <c r="H357" s="73" t="e">
        <f>[1]!الجدول2[[#This Row],[التكلفة]]*[1]!الجدول2[[#This Row],[سحب أيوب ]]</f>
        <v>#REF!</v>
      </c>
      <c r="I357" s="40"/>
    </row>
    <row r="358" spans="1:9" ht="24" hidden="1" customHeight="1" thickTop="1" thickBot="1" x14ac:dyDescent="0.35">
      <c r="A358" s="46">
        <v>355</v>
      </c>
      <c r="B358" s="149"/>
      <c r="C358" s="31"/>
      <c r="D358" s="27"/>
      <c r="E358" s="27"/>
      <c r="F358" s="27">
        <f>Inventory_List_Table58[[#This Row],[الكمية]]-Inventory_List_Table58[[#This Row],[الصادر]]</f>
        <v>0</v>
      </c>
      <c r="G358" s="32"/>
      <c r="H358" s="73" t="e">
        <f>[1]!الجدول2[[#This Row],[التكلفة]]*[1]!الجدول2[[#This Row],[سحب أيوب ]]</f>
        <v>#REF!</v>
      </c>
      <c r="I358" s="40"/>
    </row>
    <row r="359" spans="1:9" ht="24" hidden="1" customHeight="1" thickTop="1" thickBot="1" x14ac:dyDescent="0.35">
      <c r="A359" s="46">
        <v>356</v>
      </c>
      <c r="B359" s="149"/>
      <c r="C359" s="31"/>
      <c r="D359" s="27"/>
      <c r="E359" s="27"/>
      <c r="F359" s="27">
        <f>Inventory_List_Table58[[#This Row],[الكمية]]-Inventory_List_Table58[[#This Row],[الصادر]]</f>
        <v>0</v>
      </c>
      <c r="G359" s="32"/>
      <c r="H359" s="73" t="e">
        <f>[1]!الجدول2[[#This Row],[التكلفة]]*[1]!الجدول2[[#This Row],[سحب أيوب ]]</f>
        <v>#REF!</v>
      </c>
      <c r="I359" s="40"/>
    </row>
    <row r="360" spans="1:9" ht="24" hidden="1" customHeight="1" thickTop="1" thickBot="1" x14ac:dyDescent="0.35">
      <c r="A360" s="46">
        <v>357</v>
      </c>
      <c r="B360" s="149"/>
      <c r="C360" s="31"/>
      <c r="D360" s="27"/>
      <c r="E360" s="27"/>
      <c r="F360" s="27">
        <f>Inventory_List_Table58[[#This Row],[الكمية]]-Inventory_List_Table58[[#This Row],[الصادر]]</f>
        <v>0</v>
      </c>
      <c r="G360" s="32"/>
      <c r="H360" s="73" t="e">
        <f>[1]!الجدول2[[#This Row],[التكلفة]]*[1]!الجدول2[[#This Row],[سحب أيوب ]]</f>
        <v>#REF!</v>
      </c>
      <c r="I360" s="40"/>
    </row>
    <row r="361" spans="1:9" ht="24" hidden="1" customHeight="1" thickTop="1" thickBot="1" x14ac:dyDescent="0.35">
      <c r="A361" s="46">
        <v>358</v>
      </c>
      <c r="B361" s="149"/>
      <c r="C361" s="31"/>
      <c r="D361" s="27"/>
      <c r="E361" s="27"/>
      <c r="F361" s="27">
        <f>Inventory_List_Table58[[#This Row],[الكمية]]-Inventory_List_Table58[[#This Row],[الصادر]]</f>
        <v>0</v>
      </c>
      <c r="G361" s="32"/>
      <c r="H361" s="73" t="e">
        <f>[1]!الجدول2[[#This Row],[التكلفة]]*[1]!الجدول2[[#This Row],[سحب أيوب ]]</f>
        <v>#REF!</v>
      </c>
      <c r="I361" s="40"/>
    </row>
    <row r="362" spans="1:9" ht="24" hidden="1" customHeight="1" thickTop="1" thickBot="1" x14ac:dyDescent="0.35">
      <c r="A362" s="46">
        <v>359</v>
      </c>
      <c r="B362" s="149"/>
      <c r="C362" s="31"/>
      <c r="D362" s="27"/>
      <c r="E362" s="27"/>
      <c r="F362" s="27">
        <f>Inventory_List_Table58[[#This Row],[الكمية]]-Inventory_List_Table58[[#This Row],[الصادر]]</f>
        <v>0</v>
      </c>
      <c r="G362" s="32"/>
      <c r="H362" s="73" t="e">
        <f>[1]!الجدول2[[#This Row],[التكلفة]]*[1]!الجدول2[[#This Row],[سحب أيوب ]]</f>
        <v>#REF!</v>
      </c>
      <c r="I362" s="40"/>
    </row>
    <row r="363" spans="1:9" ht="24" hidden="1" customHeight="1" thickTop="1" thickBot="1" x14ac:dyDescent="0.35">
      <c r="A363" s="46">
        <v>360</v>
      </c>
      <c r="B363" s="149"/>
      <c r="C363" s="31"/>
      <c r="D363" s="27"/>
      <c r="E363" s="27"/>
      <c r="F363" s="27">
        <f>Inventory_List_Table58[[#This Row],[الكمية]]-Inventory_List_Table58[[#This Row],[الصادر]]</f>
        <v>0</v>
      </c>
      <c r="G363" s="32"/>
      <c r="H363" s="73" t="e">
        <f>[1]!الجدول2[[#This Row],[التكلفة]]*[1]!الجدول2[[#This Row],[سحب أيوب ]]</f>
        <v>#REF!</v>
      </c>
      <c r="I363" s="40"/>
    </row>
    <row r="364" spans="1:9" ht="24" hidden="1" customHeight="1" thickTop="1" thickBot="1" x14ac:dyDescent="0.35">
      <c r="B364" s="149"/>
      <c r="C364" s="31"/>
      <c r="D364" s="27"/>
      <c r="E364" s="27"/>
      <c r="F364" s="27">
        <f>Inventory_List_Table58[[#This Row],[الكمية]]-Inventory_List_Table58[[#This Row],[الصادر]]</f>
        <v>0</v>
      </c>
      <c r="G364" s="32"/>
      <c r="H364" s="73" t="e">
        <f>[1]!الجدول2[[#This Row],[التكلفة]]*[1]!الجدول2[[#This Row],[سحب أيوب ]]</f>
        <v>#REF!</v>
      </c>
      <c r="I364" s="40"/>
    </row>
    <row r="365" spans="1:9" ht="24" hidden="1" customHeight="1" thickTop="1" thickBot="1" x14ac:dyDescent="0.35">
      <c r="B365" s="149"/>
      <c r="C365" s="31"/>
      <c r="D365" s="27"/>
      <c r="E365" s="27"/>
      <c r="F365" s="27">
        <f>Inventory_List_Table58[[#This Row],[الكمية]]-Inventory_List_Table58[[#This Row],[الصادر]]</f>
        <v>0</v>
      </c>
      <c r="G365" s="32"/>
      <c r="H365" s="73" t="e">
        <f>[1]!الجدول2[[#This Row],[التكلفة]]*[1]!الجدول2[[#This Row],[سحب أيوب ]]</f>
        <v>#REF!</v>
      </c>
      <c r="I365" s="40"/>
    </row>
    <row r="366" spans="1:9" ht="24" hidden="1" customHeight="1" thickTop="1" thickBot="1" x14ac:dyDescent="0.35">
      <c r="B366" s="149"/>
      <c r="C366" s="31"/>
      <c r="D366" s="27"/>
      <c r="E366" s="27"/>
      <c r="F366" s="27">
        <f>Inventory_List_Table58[[#This Row],[الكمية]]-Inventory_List_Table58[[#This Row],[الصادر]]</f>
        <v>0</v>
      </c>
      <c r="G366" s="32"/>
      <c r="H366" s="73" t="e">
        <f>[1]!الجدول2[[#This Row],[التكلفة]]*[1]!الجدول2[[#This Row],[سحب أيوب ]]</f>
        <v>#REF!</v>
      </c>
      <c r="I366" s="40"/>
    </row>
    <row r="367" spans="1:9" ht="24" hidden="1" customHeight="1" thickTop="1" thickBot="1" x14ac:dyDescent="0.35">
      <c r="B367" s="149"/>
      <c r="C367" s="31"/>
      <c r="D367" s="27"/>
      <c r="E367" s="27"/>
      <c r="F367" s="27">
        <f>Inventory_List_Table58[[#This Row],[الكمية]]-Inventory_List_Table58[[#This Row],[الصادر]]</f>
        <v>0</v>
      </c>
      <c r="G367" s="32"/>
      <c r="H367" s="73" t="e">
        <f>[1]!الجدول2[[#This Row],[التكلفة]]*[1]!الجدول2[[#This Row],[سحب أيوب ]]</f>
        <v>#REF!</v>
      </c>
      <c r="I367" s="40"/>
    </row>
    <row r="368" spans="1:9" ht="24" hidden="1" customHeight="1" thickTop="1" thickBot="1" x14ac:dyDescent="0.35">
      <c r="B368" s="149"/>
      <c r="C368" s="31"/>
      <c r="D368" s="27"/>
      <c r="E368" s="27"/>
      <c r="F368" s="27">
        <f>Inventory_List_Table58[[#This Row],[الكمية]]-Inventory_List_Table58[[#This Row],[الصادر]]</f>
        <v>0</v>
      </c>
      <c r="G368" s="32"/>
      <c r="H368" s="73" t="e">
        <f>[1]!الجدول2[[#This Row],[التكلفة]]*[1]!الجدول2[[#This Row],[سحب أيوب ]]</f>
        <v>#REF!</v>
      </c>
      <c r="I368" s="40"/>
    </row>
    <row r="369" spans="2:9" ht="24" hidden="1" customHeight="1" thickTop="1" thickBot="1" x14ac:dyDescent="0.35">
      <c r="B369" s="149"/>
      <c r="C369" s="31"/>
      <c r="D369" s="27"/>
      <c r="E369" s="27"/>
      <c r="F369" s="27">
        <f>Inventory_List_Table58[[#This Row],[الكمية]]-Inventory_List_Table58[[#This Row],[الصادر]]</f>
        <v>0</v>
      </c>
      <c r="G369" s="32"/>
      <c r="H369" s="73" t="e">
        <f>[1]!الجدول2[[#This Row],[التكلفة]]*[1]!الجدول2[[#This Row],[سحب أيوب ]]</f>
        <v>#REF!</v>
      </c>
      <c r="I369" s="40"/>
    </row>
    <row r="370" spans="2:9" ht="24" hidden="1" customHeight="1" thickTop="1" thickBot="1" x14ac:dyDescent="0.35">
      <c r="B370" s="139" t="s">
        <v>90</v>
      </c>
      <c r="C370" s="127">
        <v>46234</v>
      </c>
      <c r="D370" s="165">
        <v>1</v>
      </c>
      <c r="E370" s="165"/>
      <c r="F370" s="165">
        <f>Inventory_List_Table58[[#This Row],[الكمية]]-Inventory_List_Table58[[#This Row],[الصادر]]</f>
        <v>1</v>
      </c>
      <c r="G370" s="166"/>
      <c r="H370" s="167" t="e">
        <f>[1]!الجدول2[[#This Row],[التكلفة]]*[1]!الجدول2[[#This Row],[سحب أيوب ]]</f>
        <v>#REF!</v>
      </c>
    </row>
    <row r="371" spans="2:9" ht="24" customHeight="1" thickTop="1" thickBot="1" x14ac:dyDescent="0.45">
      <c r="B371" s="140" t="s">
        <v>253</v>
      </c>
      <c r="C371" s="127">
        <v>46234</v>
      </c>
      <c r="D371" s="141">
        <v>10</v>
      </c>
      <c r="E371" s="165"/>
      <c r="F371" s="165">
        <f>Inventory_List_Table58[[#This Row],[الكمية]]-Inventory_List_Table58[[#This Row],[الصادر]]</f>
        <v>10</v>
      </c>
      <c r="G371" s="166"/>
      <c r="H371" s="167" t="e">
        <f>[1]!الجدول2[[#This Row],[التكلفة]]*[1]!الجدول2[[#This Row],[سحب أيوب ]]</f>
        <v>#REF!</v>
      </c>
    </row>
    <row r="374" spans="2:9" ht="24" customHeight="1" x14ac:dyDescent="0.25"/>
    <row r="375" spans="2:9" ht="24" customHeight="1" x14ac:dyDescent="0.25"/>
    <row r="376" spans="2:9" ht="24" customHeight="1" x14ac:dyDescent="0.25"/>
    <row r="377" spans="2:9" ht="24" customHeight="1" x14ac:dyDescent="0.25"/>
    <row r="378" spans="2:9" ht="24" customHeight="1" x14ac:dyDescent="0.25"/>
    <row r="379" spans="2:9" ht="24" customHeight="1" x14ac:dyDescent="0.25"/>
    <row r="380" spans="2:9" ht="24" customHeight="1" x14ac:dyDescent="0.25"/>
    <row r="381" spans="2:9" ht="24" customHeight="1" x14ac:dyDescent="0.25"/>
    <row r="382" spans="2:9" ht="24" customHeight="1" x14ac:dyDescent="0.25"/>
    <row r="383" spans="2:9" ht="24" customHeight="1" x14ac:dyDescent="0.25"/>
    <row r="384" spans="2:9" ht="24" customHeight="1" x14ac:dyDescent="0.25"/>
    <row r="385" ht="24" customHeight="1" x14ac:dyDescent="0.25"/>
    <row r="386" ht="24" customHeight="1" x14ac:dyDescent="0.25"/>
    <row r="387" ht="24" customHeight="1" x14ac:dyDescent="0.25"/>
    <row r="388" ht="24" customHeight="1" x14ac:dyDescent="0.25"/>
    <row r="389" ht="24" customHeight="1" x14ac:dyDescent="0.25"/>
    <row r="390" ht="24" customHeight="1" x14ac:dyDescent="0.25"/>
    <row r="391" ht="24" customHeight="1" x14ac:dyDescent="0.25"/>
    <row r="392" ht="24" customHeight="1" x14ac:dyDescent="0.25"/>
    <row r="393" ht="24" customHeight="1" x14ac:dyDescent="0.25"/>
    <row r="394" ht="24" customHeight="1" x14ac:dyDescent="0.25"/>
    <row r="395" ht="24" customHeight="1" x14ac:dyDescent="0.25"/>
    <row r="396" ht="24" customHeight="1" x14ac:dyDescent="0.25"/>
    <row r="397" ht="24" customHeight="1" x14ac:dyDescent="0.25"/>
    <row r="398" ht="24" customHeight="1" x14ac:dyDescent="0.25"/>
    <row r="399" ht="24" customHeight="1" x14ac:dyDescent="0.25"/>
    <row r="400" ht="24" customHeight="1" x14ac:dyDescent="0.25"/>
    <row r="401" ht="24" customHeight="1" x14ac:dyDescent="0.25"/>
    <row r="402" ht="24" customHeight="1" x14ac:dyDescent="0.25"/>
    <row r="403" ht="24" customHeight="1" x14ac:dyDescent="0.25"/>
    <row r="404" ht="24" customHeight="1" x14ac:dyDescent="0.25"/>
    <row r="405" ht="24" customHeight="1" x14ac:dyDescent="0.25"/>
    <row r="406" ht="24" customHeight="1" x14ac:dyDescent="0.25"/>
    <row r="407" ht="24" customHeight="1" x14ac:dyDescent="0.25"/>
    <row r="408" ht="24" customHeight="1" x14ac:dyDescent="0.25"/>
    <row r="409" ht="24" customHeight="1" x14ac:dyDescent="0.25"/>
    <row r="410" ht="24" customHeight="1" x14ac:dyDescent="0.25"/>
    <row r="411" ht="24" customHeight="1" x14ac:dyDescent="0.25"/>
    <row r="412" ht="24" customHeight="1" x14ac:dyDescent="0.25"/>
    <row r="413" ht="24" customHeight="1" x14ac:dyDescent="0.25"/>
    <row r="414" ht="24" customHeight="1" x14ac:dyDescent="0.25"/>
    <row r="415" ht="24" customHeight="1" x14ac:dyDescent="0.25"/>
    <row r="416" ht="24" customHeight="1" x14ac:dyDescent="0.25"/>
    <row r="417" ht="24" customHeight="1" x14ac:dyDescent="0.25"/>
    <row r="418" ht="24" customHeight="1" x14ac:dyDescent="0.25"/>
    <row r="419" ht="24" customHeight="1" x14ac:dyDescent="0.25"/>
    <row r="420" ht="24" customHeight="1" x14ac:dyDescent="0.25"/>
    <row r="421" ht="24" customHeight="1" x14ac:dyDescent="0.25"/>
    <row r="422" ht="24" customHeight="1" x14ac:dyDescent="0.25"/>
    <row r="423" ht="24" customHeight="1" x14ac:dyDescent="0.25"/>
    <row r="424" ht="24" customHeight="1" x14ac:dyDescent="0.25"/>
    <row r="425" ht="24" customHeight="1" x14ac:dyDescent="0.25"/>
  </sheetData>
  <mergeCells count="1">
    <mergeCell ref="A1:B1"/>
  </mergeCells>
  <conditionalFormatting sqref="A4:A124 A146">
    <cfRule type="expression" dxfId="170" priority="165">
      <formula>$B4=1</formula>
    </cfRule>
  </conditionalFormatting>
  <conditionalFormatting sqref="A4:A162">
    <cfRule type="expression" dxfId="169" priority="164">
      <formula>#REF!="نعم"</formula>
    </cfRule>
  </conditionalFormatting>
  <conditionalFormatting sqref="A125">
    <cfRule type="expression" dxfId="168" priority="469">
      <formula>$B149=1</formula>
    </cfRule>
  </conditionalFormatting>
  <conditionalFormatting sqref="A126:A127">
    <cfRule type="expression" dxfId="167" priority="525">
      <formula>$B125=1</formula>
    </cfRule>
  </conditionalFormatting>
  <conditionalFormatting sqref="A128">
    <cfRule type="expression" dxfId="166" priority="531">
      <formula>$B150=1</formula>
    </cfRule>
  </conditionalFormatting>
  <conditionalFormatting sqref="A129:A130">
    <cfRule type="expression" dxfId="165" priority="575">
      <formula>$B127=1</formula>
    </cfRule>
  </conditionalFormatting>
  <conditionalFormatting sqref="A131:A132">
    <cfRule type="expression" dxfId="164" priority="586">
      <formula>$B151=1</formula>
    </cfRule>
  </conditionalFormatting>
  <conditionalFormatting sqref="A133">
    <cfRule type="expression" dxfId="163" priority="698">
      <formula>$B129=1</formula>
    </cfRule>
  </conditionalFormatting>
  <conditionalFormatting sqref="A134:A141">
    <cfRule type="expression" dxfId="162" priority="644">
      <formula>$B153=1</formula>
    </cfRule>
  </conditionalFormatting>
  <conditionalFormatting sqref="A142">
    <cfRule type="expression" dxfId="161" priority="816">
      <formula>$B130=1</formula>
    </cfRule>
  </conditionalFormatting>
  <conditionalFormatting sqref="A143:A144">
    <cfRule type="expression" dxfId="160" priority="748">
      <formula>$B161=1</formula>
    </cfRule>
  </conditionalFormatting>
  <conditionalFormatting sqref="A145 A161:A162">
    <cfRule type="expression" dxfId="159" priority="876">
      <formula>$B131=1</formula>
    </cfRule>
  </conditionalFormatting>
  <conditionalFormatting sqref="A147:A160">
    <cfRule type="expression" dxfId="158" priority="940">
      <formula>$B132=1</formula>
    </cfRule>
  </conditionalFormatting>
  <conditionalFormatting sqref="A163:A363">
    <cfRule type="expression" dxfId="157" priority="887">
      <formula>$B163=1</formula>
    </cfRule>
    <cfRule type="expression" dxfId="156" priority="886">
      <formula>#REF!="نعم"</formula>
    </cfRule>
  </conditionalFormatting>
  <conditionalFormatting sqref="B3">
    <cfRule type="duplicateValues" dxfId="155" priority="151"/>
  </conditionalFormatting>
  <conditionalFormatting sqref="B4:B14 B16:B20 B22:B68">
    <cfRule type="duplicateValues" dxfId="154" priority="130"/>
  </conditionalFormatting>
  <conditionalFormatting sqref="B4:B14 B17:B20 B22:B63">
    <cfRule type="duplicateValues" dxfId="153" priority="140"/>
  </conditionalFormatting>
  <conditionalFormatting sqref="B4:B142 B144:B369">
    <cfRule type="duplicateValues" dxfId="152" priority="936"/>
  </conditionalFormatting>
  <conditionalFormatting sqref="B15">
    <cfRule type="duplicateValues" dxfId="151" priority="58"/>
    <cfRule type="duplicateValues" dxfId="150" priority="57"/>
    <cfRule type="duplicateValues" dxfId="149" priority="56"/>
  </conditionalFormatting>
  <conditionalFormatting sqref="B16">
    <cfRule type="duplicateValues" dxfId="148" priority="131"/>
  </conditionalFormatting>
  <conditionalFormatting sqref="B21">
    <cfRule type="duplicateValues" dxfId="147" priority="43"/>
    <cfRule type="duplicateValues" dxfId="146" priority="44"/>
  </conditionalFormatting>
  <conditionalFormatting sqref="B59">
    <cfRule type="duplicateValues" dxfId="145" priority="139"/>
  </conditionalFormatting>
  <conditionalFormatting sqref="B60">
    <cfRule type="duplicateValues" dxfId="144" priority="138"/>
  </conditionalFormatting>
  <conditionalFormatting sqref="B61">
    <cfRule type="duplicateValues" dxfId="143" priority="137"/>
  </conditionalFormatting>
  <conditionalFormatting sqref="B62">
    <cfRule type="duplicateValues" dxfId="142" priority="136"/>
  </conditionalFormatting>
  <conditionalFormatting sqref="B63">
    <cfRule type="duplicateValues" dxfId="141" priority="135"/>
  </conditionalFormatting>
  <conditionalFormatting sqref="B64">
    <cfRule type="duplicateValues" dxfId="140" priority="134"/>
  </conditionalFormatting>
  <conditionalFormatting sqref="B65">
    <cfRule type="duplicateValues" dxfId="139" priority="133"/>
  </conditionalFormatting>
  <conditionalFormatting sqref="B68">
    <cfRule type="duplicateValues" dxfId="138" priority="132"/>
  </conditionalFormatting>
  <conditionalFormatting sqref="B69">
    <cfRule type="duplicateValues" dxfId="137" priority="127"/>
  </conditionalFormatting>
  <conditionalFormatting sqref="B70">
    <cfRule type="duplicateValues" dxfId="136" priority="126"/>
  </conditionalFormatting>
  <conditionalFormatting sqref="B71">
    <cfRule type="duplicateValues" dxfId="135" priority="125"/>
  </conditionalFormatting>
  <conditionalFormatting sqref="B72">
    <cfRule type="duplicateValues" dxfId="134" priority="124"/>
  </conditionalFormatting>
  <conditionalFormatting sqref="B73">
    <cfRule type="duplicateValues" dxfId="133" priority="123"/>
  </conditionalFormatting>
  <conditionalFormatting sqref="B77:B81">
    <cfRule type="duplicateValues" dxfId="132" priority="118"/>
    <cfRule type="duplicateValues" dxfId="131" priority="117"/>
  </conditionalFormatting>
  <conditionalFormatting sqref="B82">
    <cfRule type="duplicateValues" dxfId="130" priority="100"/>
  </conditionalFormatting>
  <conditionalFormatting sqref="B83">
    <cfRule type="duplicateValues" dxfId="129" priority="108"/>
  </conditionalFormatting>
  <conditionalFormatting sqref="B83:B90">
    <cfRule type="duplicateValues" dxfId="128" priority="114"/>
  </conditionalFormatting>
  <conditionalFormatting sqref="B84">
    <cfRule type="duplicateValues" dxfId="127" priority="107"/>
  </conditionalFormatting>
  <conditionalFormatting sqref="B85">
    <cfRule type="duplicateValues" dxfId="126" priority="106"/>
  </conditionalFormatting>
  <conditionalFormatting sqref="B86">
    <cfRule type="duplicateValues" dxfId="125" priority="105"/>
  </conditionalFormatting>
  <conditionalFormatting sqref="B87">
    <cfRule type="duplicateValues" dxfId="124" priority="104"/>
  </conditionalFormatting>
  <conditionalFormatting sqref="B88">
    <cfRule type="duplicateValues" dxfId="123" priority="103"/>
  </conditionalFormatting>
  <conditionalFormatting sqref="B89">
    <cfRule type="duplicateValues" dxfId="122" priority="102"/>
  </conditionalFormatting>
  <conditionalFormatting sqref="B90">
    <cfRule type="duplicateValues" dxfId="121" priority="101"/>
  </conditionalFormatting>
  <conditionalFormatting sqref="B93">
    <cfRule type="duplicateValues" dxfId="120" priority="96"/>
  </conditionalFormatting>
  <conditionalFormatting sqref="B93:B101 B103">
    <cfRule type="duplicateValues" dxfId="119" priority="403"/>
  </conditionalFormatting>
  <conditionalFormatting sqref="B94">
    <cfRule type="duplicateValues" dxfId="118" priority="94"/>
  </conditionalFormatting>
  <conditionalFormatting sqref="B95">
    <cfRule type="duplicateValues" dxfId="117" priority="92"/>
  </conditionalFormatting>
  <conditionalFormatting sqref="B96">
    <cfRule type="duplicateValues" dxfId="116" priority="90"/>
  </conditionalFormatting>
  <conditionalFormatting sqref="B97">
    <cfRule type="duplicateValues" dxfId="115" priority="89"/>
  </conditionalFormatting>
  <conditionalFormatting sqref="B98">
    <cfRule type="duplicateValues" dxfId="114" priority="86"/>
  </conditionalFormatting>
  <conditionalFormatting sqref="B99">
    <cfRule type="duplicateValues" dxfId="113" priority="85"/>
  </conditionalFormatting>
  <conditionalFormatting sqref="B100">
    <cfRule type="duplicateValues" dxfId="112" priority="84"/>
  </conditionalFormatting>
  <conditionalFormatting sqref="B101">
    <cfRule type="duplicateValues" dxfId="111" priority="83"/>
  </conditionalFormatting>
  <conditionalFormatting sqref="B102">
    <cfRule type="duplicateValues" dxfId="110" priority="78"/>
  </conditionalFormatting>
  <conditionalFormatting sqref="B103">
    <cfRule type="duplicateValues" dxfId="109" priority="81"/>
  </conditionalFormatting>
  <conditionalFormatting sqref="B105:B108">
    <cfRule type="duplicateValues" dxfId="108" priority="75"/>
    <cfRule type="duplicateValues" dxfId="107" priority="74"/>
    <cfRule type="duplicateValues" dxfId="106" priority="73"/>
  </conditionalFormatting>
  <conditionalFormatting sqref="B109">
    <cfRule type="duplicateValues" dxfId="105" priority="80"/>
  </conditionalFormatting>
  <conditionalFormatting sqref="B110">
    <cfRule type="duplicateValues" dxfId="104" priority="71"/>
    <cfRule type="duplicateValues" dxfId="103" priority="72"/>
    <cfRule type="duplicateValues" dxfId="102" priority="70"/>
    <cfRule type="duplicateValues" dxfId="101" priority="69"/>
  </conditionalFormatting>
  <conditionalFormatting sqref="B111">
    <cfRule type="duplicateValues" dxfId="100" priority="68"/>
    <cfRule type="duplicateValues" dxfId="99" priority="67"/>
    <cfRule type="duplicateValues" dxfId="98" priority="66"/>
  </conditionalFormatting>
  <conditionalFormatting sqref="B112">
    <cfRule type="duplicateValues" dxfId="97" priority="64"/>
    <cfRule type="duplicateValues" dxfId="96" priority="65"/>
  </conditionalFormatting>
  <conditionalFormatting sqref="B113">
    <cfRule type="duplicateValues" dxfId="95" priority="62"/>
    <cfRule type="duplicateValues" dxfId="94" priority="63"/>
  </conditionalFormatting>
  <conditionalFormatting sqref="B114">
    <cfRule type="duplicateValues" dxfId="93" priority="61"/>
    <cfRule type="duplicateValues" dxfId="92" priority="60"/>
    <cfRule type="duplicateValues" dxfId="91" priority="59"/>
  </conditionalFormatting>
  <conditionalFormatting sqref="B116:B117">
    <cfRule type="duplicateValues" dxfId="90" priority="55"/>
    <cfRule type="duplicateValues" dxfId="89" priority="54"/>
  </conditionalFormatting>
  <conditionalFormatting sqref="B118">
    <cfRule type="duplicateValues" dxfId="88" priority="50"/>
    <cfRule type="duplicateValues" dxfId="87" priority="51"/>
    <cfRule type="duplicateValues" dxfId="86" priority="52"/>
    <cfRule type="duplicateValues" dxfId="85" priority="53"/>
  </conditionalFormatting>
  <conditionalFormatting sqref="B119">
    <cfRule type="duplicateValues" dxfId="84" priority="49"/>
    <cfRule type="duplicateValues" dxfId="83" priority="48"/>
  </conditionalFormatting>
  <conditionalFormatting sqref="B120">
    <cfRule type="duplicateValues" dxfId="82" priority="47"/>
    <cfRule type="duplicateValues" dxfId="81" priority="46"/>
    <cfRule type="duplicateValues" dxfId="80" priority="45"/>
  </conditionalFormatting>
  <conditionalFormatting sqref="B121:B124">
    <cfRule type="duplicateValues" dxfId="79" priority="149"/>
  </conditionalFormatting>
  <conditionalFormatting sqref="B143">
    <cfRule type="duplicateValues" dxfId="78" priority="20"/>
  </conditionalFormatting>
  <conditionalFormatting sqref="B149:B150 B125:B128">
    <cfRule type="duplicateValues" dxfId="77" priority="717"/>
  </conditionalFormatting>
  <conditionalFormatting sqref="B149:B162 B146 B125:B138">
    <cfRule type="duplicateValues" dxfId="76" priority="966"/>
  </conditionalFormatting>
  <conditionalFormatting sqref="B151:B155 B129">
    <cfRule type="duplicateValues" dxfId="75" priority="34"/>
  </conditionalFormatting>
  <conditionalFormatting sqref="B156">
    <cfRule type="duplicateValues" dxfId="74" priority="32"/>
  </conditionalFormatting>
  <conditionalFormatting sqref="B158">
    <cfRule type="duplicateValues" dxfId="73" priority="30"/>
    <cfRule type="duplicateValues" dxfId="72" priority="31"/>
  </conditionalFormatting>
  <conditionalFormatting sqref="B163:B228 B147:B148 B144:B145">
    <cfRule type="duplicateValues" dxfId="71" priority="963"/>
  </conditionalFormatting>
  <conditionalFormatting sqref="B163:B369 B147:B148 B144:B145 B4:B14 B121:B124 B16:B20 B22:B76">
    <cfRule type="duplicateValues" dxfId="70" priority="948"/>
  </conditionalFormatting>
  <conditionalFormatting sqref="B163:B369 B147:B148 B144:B145 B121:B124 B109 B4:B14 B16:B20 B22:B103">
    <cfRule type="duplicateValues" dxfId="69" priority="955"/>
  </conditionalFormatting>
  <conditionalFormatting sqref="B249:B251">
    <cfRule type="duplicateValues" dxfId="68" priority="154"/>
  </conditionalFormatting>
  <conditionalFormatting sqref="B252:B319">
    <cfRule type="duplicateValues" dxfId="67" priority="166"/>
  </conditionalFormatting>
  <conditionalFormatting sqref="B252:B369">
    <cfRule type="duplicateValues" dxfId="66" priority="167"/>
  </conditionalFormatting>
  <conditionalFormatting sqref="B320:B369 B2 B372:B1048576">
    <cfRule type="duplicateValues" dxfId="65" priority="162"/>
  </conditionalFormatting>
  <conditionalFormatting sqref="B370">
    <cfRule type="duplicateValues" dxfId="64" priority="19"/>
    <cfRule type="duplicateValues" dxfId="63" priority="18"/>
  </conditionalFormatting>
  <conditionalFormatting sqref="B371">
    <cfRule type="duplicateValues" dxfId="62" priority="15"/>
    <cfRule type="duplicateValues" dxfId="61" priority="17"/>
  </conditionalFormatting>
  <conditionalFormatting sqref="C83:C88">
    <cfRule type="expression" dxfId="60" priority="42">
      <formula>$A83=1</formula>
    </cfRule>
    <cfRule type="expression" dxfId="59" priority="41">
      <formula>#REF!="نعم"</formula>
    </cfRule>
  </conditionalFormatting>
  <conditionalFormatting sqref="C90">
    <cfRule type="expression" dxfId="58" priority="40">
      <formula>$A90=1</formula>
    </cfRule>
    <cfRule type="expression" dxfId="57" priority="39">
      <formula>#REF!="نعم"</formula>
    </cfRule>
  </conditionalFormatting>
  <conditionalFormatting sqref="C93:C104">
    <cfRule type="expression" dxfId="56" priority="37">
      <formula>#REF!="نعم"</formula>
    </cfRule>
    <cfRule type="expression" dxfId="55" priority="38">
      <formula>$A93=1</formula>
    </cfRule>
  </conditionalFormatting>
  <conditionalFormatting sqref="C144:C145 C147:C148">
    <cfRule type="expression" dxfId="54" priority="642">
      <formula>$A148=1</formula>
    </cfRule>
    <cfRule type="expression" dxfId="53" priority="529">
      <formula>$A145=1</formula>
    </cfRule>
    <cfRule type="expression" dxfId="52" priority="811">
      <formula>$A140=1</formula>
    </cfRule>
    <cfRule type="expression" dxfId="51" priority="579">
      <formula>$A146=1</formula>
    </cfRule>
  </conditionalFormatting>
  <conditionalFormatting sqref="C144:C145">
    <cfRule type="expression" dxfId="50" priority="694">
      <formula>$A141=1</formula>
    </cfRule>
    <cfRule type="expression" dxfId="49" priority="986">
      <formula>$A147=1</formula>
    </cfRule>
    <cfRule type="expression" dxfId="48" priority="996">
      <formula>$A149=1</formula>
    </cfRule>
  </conditionalFormatting>
  <conditionalFormatting sqref="C146 E146:F146">
    <cfRule type="expression" dxfId="47" priority="921">
      <formula>$A144=1</formula>
    </cfRule>
  </conditionalFormatting>
  <conditionalFormatting sqref="C146">
    <cfRule type="expression" dxfId="46" priority="898">
      <formula>$A133=1</formula>
    </cfRule>
    <cfRule type="expression" dxfId="45" priority="935">
      <formula>$A128=1</formula>
    </cfRule>
    <cfRule type="expression" dxfId="44" priority="914">
      <formula>$A136=1</formula>
    </cfRule>
    <cfRule type="expression" dxfId="43" priority="906">
      <formula>$A134=1</formula>
    </cfRule>
  </conditionalFormatting>
  <conditionalFormatting sqref="C149">
    <cfRule type="expression" dxfId="42" priority="475">
      <formula>$A125=1</formula>
    </cfRule>
  </conditionalFormatting>
  <conditionalFormatting sqref="C150">
    <cfRule type="expression" dxfId="41" priority="535">
      <formula>$A128=1</formula>
    </cfRule>
  </conditionalFormatting>
  <conditionalFormatting sqref="C151:C152">
    <cfRule type="expression" dxfId="40" priority="590">
      <formula>$A131=1</formula>
    </cfRule>
  </conditionalFormatting>
  <conditionalFormatting sqref="C153:C160 E153:F160">
    <cfRule type="expression" dxfId="39" priority="648">
      <formula>$A134=1</formula>
    </cfRule>
  </conditionalFormatting>
  <conditionalFormatting sqref="C161:C162 E161:F162">
    <cfRule type="expression" dxfId="38" priority="752">
      <formula>$A143=1</formula>
    </cfRule>
  </conditionalFormatting>
  <conditionalFormatting sqref="C252:C318">
    <cfRule type="expression" dxfId="37" priority="160">
      <formula>#REF!="نعم"</formula>
    </cfRule>
    <cfRule type="expression" dxfId="36" priority="161">
      <formula>$B252=1</formula>
    </cfRule>
  </conditionalFormatting>
  <conditionalFormatting sqref="C72:F72 D73:F73 C73:C81 D77:F81 D118:F124 C146 E146:F146">
    <cfRule type="expression" dxfId="35" priority="142">
      <formula>$A72=1</formula>
    </cfRule>
  </conditionalFormatting>
  <conditionalFormatting sqref="C72:F72 D73:F73 C73:C81 D77:F81 E130:F148 C144:C162">
    <cfRule type="expression" dxfId="34" priority="141">
      <formula>#REF!="نعم"</formula>
    </cfRule>
  </conditionalFormatting>
  <conditionalFormatting sqref="D103 E117:F117">
    <cfRule type="duplicateValues" dxfId="33" priority="77"/>
  </conditionalFormatting>
  <conditionalFormatting sqref="D153:D158">
    <cfRule type="expression" dxfId="32" priority="23">
      <formula>$A136=1</formula>
    </cfRule>
    <cfRule type="expression" dxfId="31" priority="22">
      <formula>#REF!="نعم"</formula>
    </cfRule>
  </conditionalFormatting>
  <conditionalFormatting sqref="D371">
    <cfRule type="expression" dxfId="30" priority="1">
      <formula>#REF!="نعم"</formula>
    </cfRule>
    <cfRule type="expression" dxfId="29" priority="4">
      <formula>$A375=1</formula>
    </cfRule>
    <cfRule type="expression" dxfId="28" priority="2">
      <formula>$A374=1</formula>
    </cfRule>
    <cfRule type="expression" dxfId="27" priority="12">
      <formula>$A376=1</formula>
    </cfRule>
    <cfRule type="expression" dxfId="26" priority="14">
      <formula>$A378=1</formula>
    </cfRule>
    <cfRule type="expression" dxfId="25" priority="10">
      <formula>$A369=1</formula>
    </cfRule>
    <cfRule type="expression" dxfId="24" priority="8">
      <formula>$A370=1</formula>
    </cfRule>
    <cfRule type="expression" dxfId="23" priority="6">
      <formula>$A377=1</formula>
    </cfRule>
  </conditionalFormatting>
  <conditionalFormatting sqref="D15:E15">
    <cfRule type="duplicateValues" dxfId="22" priority="129"/>
  </conditionalFormatting>
  <conditionalFormatting sqref="D118:F152">
    <cfRule type="expression" dxfId="21" priority="24">
      <formula>#REF!="نعم"</formula>
    </cfRule>
  </conditionalFormatting>
  <conditionalFormatting sqref="D125:F145 D147:F148">
    <cfRule type="expression" dxfId="20" priority="496">
      <formula>$A128=1</formula>
    </cfRule>
  </conditionalFormatting>
  <conditionalFormatting sqref="D127:F145 D147:F148">
    <cfRule type="expression" dxfId="19" priority="571">
      <formula>$A131=1</formula>
    </cfRule>
  </conditionalFormatting>
  <conditionalFormatting sqref="D129:F129 D132:F145">
    <cfRule type="expression" dxfId="18" priority="678">
      <formula>$A128=1</formula>
    </cfRule>
  </conditionalFormatting>
  <conditionalFormatting sqref="D129:F145 D147:F148">
    <cfRule type="expression" dxfId="17" priority="634">
      <formula>$A135=1</formula>
    </cfRule>
  </conditionalFormatting>
  <conditionalFormatting sqref="D130:F145 D147:F148">
    <cfRule type="expression" dxfId="16" priority="794">
      <formula>$A128=1</formula>
    </cfRule>
  </conditionalFormatting>
  <conditionalFormatting sqref="D132:F145">
    <cfRule type="expression" dxfId="15" priority="982">
      <formula>$A137=1</formula>
    </cfRule>
    <cfRule type="expression" dxfId="14" priority="992">
      <formula>$A139=1</formula>
    </cfRule>
  </conditionalFormatting>
  <conditionalFormatting sqref="D146:F146">
    <cfRule type="expression" dxfId="13" priority="894">
      <formula>$A135=1</formula>
    </cfRule>
    <cfRule type="expression" dxfId="12" priority="902">
      <formula>$A136=1</formula>
    </cfRule>
    <cfRule type="expression" dxfId="11" priority="910">
      <formula>$A138=1</formula>
    </cfRule>
    <cfRule type="expression" dxfId="10" priority="931">
      <formula>$A130=1</formula>
    </cfRule>
  </conditionalFormatting>
  <conditionalFormatting sqref="D149:F149">
    <cfRule type="expression" dxfId="9" priority="146">
      <formula>$A127=1</formula>
    </cfRule>
  </conditionalFormatting>
  <conditionalFormatting sqref="D150:F150">
    <cfRule type="expression" dxfId="8" priority="605">
      <formula>$A130=1</formula>
    </cfRule>
  </conditionalFormatting>
  <conditionalFormatting sqref="D151:F152">
    <cfRule type="expression" dxfId="7" priority="25">
      <formula>$A133=1</formula>
    </cfRule>
  </conditionalFormatting>
  <conditionalFormatting sqref="D249:F251">
    <cfRule type="expression" dxfId="6" priority="152">
      <formula>#REF!="نعم"</formula>
    </cfRule>
    <cfRule type="expression" dxfId="5" priority="153">
      <formula>$A249=1</formula>
    </cfRule>
  </conditionalFormatting>
  <conditionalFormatting sqref="E130:F145 C144:C145 C147:C148 E147:F148">
    <cfRule type="expression" dxfId="4" priority="746">
      <formula>$A142=1</formula>
    </cfRule>
  </conditionalFormatting>
  <conditionalFormatting sqref="E131:F145 C144:C145">
    <cfRule type="expression" dxfId="3" priority="880">
      <formula>$A145=1</formula>
    </cfRule>
  </conditionalFormatting>
  <conditionalFormatting sqref="E132:F145 C144:C145">
    <cfRule type="expression" dxfId="2" priority="1002">
      <formula>$A145=1</formula>
    </cfRule>
  </conditionalFormatting>
  <conditionalFormatting sqref="E153:F162">
    <cfRule type="expression" dxfId="1" priority="647">
      <formula>#REF!="نعم"</formula>
    </cfRule>
  </conditionalFormatting>
  <conditionalFormatting sqref="G1">
    <cfRule type="cellIs" dxfId="0" priority="163" operator="equal">
      <formula>"F1=E1*D1"</formula>
    </cfRule>
  </conditionalFormatting>
  <dataValidations count="3">
    <dataValidation allowBlank="1" showInputMessage="1" showErrorMessage="1" prompt="أدخل كمية المخزون لكل عنصر في هذا العمود" sqref="D3:F3" xr:uid="{5DBC56A1-F9E9-431A-9351-3E27A53D11CA}"/>
    <dataValidation allowBlank="1" showInputMessage="1" showErrorMessage="1" prompt="هذا عمود تلقائي. _x000a__x000a_تشير أيقونة العلامة في هذا العمود إلى العناصر الموجودة في قائمة المخزون والجاهزة لإعادة الطلب. وتظهر أيقونات العلامة فقط عند تحديد القيمة &quot;نعم&quot; في L2 وعندما يتوافق العنصر مع معايير إعادة الطلب." sqref="B3" xr:uid="{E67E0706-C104-4392-8647-25FB0E41FDC2}"/>
    <dataValidation allowBlank="1" showInputMessage="1" showErrorMessage="1" prompt="أدخل وصفاً للعنصر في هذا العمود" sqref="C3" xr:uid="{4C92DCBF-8868-4087-B806-750FE971ED57}"/>
  </dataValidations>
  <pageMargins left="0.25" right="0.25" top="0.75" bottom="0.75" header="0.3" footer="0.3"/>
  <pageSetup paperSize="9" scale="78" fitToHeight="0" orientation="portrait" r:id="rId1"/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0" id="{4EE7E4D1-D4AB-4E92-8A8D-C7E3DB2E5D66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B121:B124</xm:sqref>
        </x14:conditionalFormatting>
        <x14:conditionalFormatting xmlns:xm="http://schemas.microsoft.com/office/excel/2006/main">
          <x14:cfRule type="iconSet" priority="33" id="{3A40EF91-4590-4393-AA27-603D5008A0A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B156</xm:sqref>
        </x14:conditionalFormatting>
        <x14:conditionalFormatting xmlns:xm="http://schemas.microsoft.com/office/excel/2006/main">
          <x14:cfRule type="iconSet" priority="155" id="{AD35CC2B-CF74-43B8-8FA3-ECB9824BF2FD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B249:B251</xm:sqref>
        </x14:conditionalFormatting>
        <x14:conditionalFormatting xmlns:xm="http://schemas.microsoft.com/office/excel/2006/main">
          <x14:cfRule type="iconSet" priority="16" id="{0A0B259B-4DCC-4D46-8A47-B15A0D2044D2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B371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1227E31-123E-44EE-A422-2705DF3A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17AD16-C3BD-472A-B362-8A85F95573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F3298A-223B-42B2-9FEF-AB506EA6B5F6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6dc4bcd6-49db-4c07-9060-8acfc67cef9f"/>
    <ds:schemaRef ds:uri="fb0879af-3eba-417a-a55a-ffe6dcd6ca77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3</vt:i4>
      </vt:variant>
    </vt:vector>
  </HeadingPairs>
  <TitlesOfParts>
    <vt:vector size="6" baseType="lpstr">
      <vt:lpstr>مستودع رئيسي</vt:lpstr>
      <vt:lpstr>مستودع ايوب</vt:lpstr>
      <vt:lpstr>مستودع احمد</vt:lpstr>
      <vt:lpstr>'مستودع احمد'!Print_Titles</vt:lpstr>
      <vt:lpstr>'مستودع ايوب'!Print_Titles</vt:lpstr>
      <vt:lpstr>'مستودع رئيسي'!Print_Titles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2018-08-16T20:38:17Z</dcterms:created>
  <dcterms:modified xsi:type="dcterms:W3CDTF">2026-08-07T04:51:50Z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